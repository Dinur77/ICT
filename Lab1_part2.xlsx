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632916be336c29/Документы/5 semester/ICT/"/>
    </mc:Choice>
  </mc:AlternateContent>
  <xr:revisionPtr revIDLastSave="20" documentId="13_ncr:1_{56BAE3CE-3EAF-4019-A393-2CF26CFAEDE2}" xr6:coauthVersionLast="47" xr6:coauthVersionMax="47" xr10:uidLastSave="{45E37D5E-050A-465A-874F-3B6405193F20}"/>
  <bookViews>
    <workbookView xWindow="-108" yWindow="-108" windowWidth="23256" windowHeight="12456" activeTab="7" xr2:uid="{6DBBD402-9FC8-404C-A897-1EBF2197A6F4}"/>
  </bookViews>
  <sheets>
    <sheet name="Sheet6" sheetId="7" r:id="rId1"/>
    <sheet name="Sheet7" sheetId="8" r:id="rId2"/>
    <sheet name="Sheet2" sheetId="9" r:id="rId3"/>
    <sheet name="Sheet3" sheetId="10" r:id="rId4"/>
    <sheet name="Sheet4" sheetId="11" r:id="rId5"/>
    <sheet name="Sheet5" sheetId="12" r:id="rId6"/>
    <sheet name="Sheet8" sheetId="13" r:id="rId7"/>
    <sheet name="Sheet1" sheetId="2" r:id="rId8"/>
  </sheets>
  <externalReferences>
    <externalReference r:id="rId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K3" i="2"/>
  <c r="L3" i="2"/>
  <c r="M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C6" i="12"/>
  <c r="C6" i="11"/>
  <c r="C6" i="10"/>
  <c r="C6" i="9"/>
  <c r="C6" i="13"/>
  <c r="D6" i="12" l="1"/>
  <c r="E6" i="12"/>
  <c r="D6" i="11"/>
  <c r="E6" i="11"/>
  <c r="D6" i="10"/>
  <c r="E6" i="10"/>
  <c r="D6" i="9"/>
  <c r="E6" i="9"/>
  <c r="E6" i="13"/>
  <c r="D6" i="13"/>
  <c r="C6" i="8" l="1"/>
  <c r="C6" i="7"/>
  <c r="D6" i="7"/>
  <c r="E6" i="7"/>
  <c r="E6" i="8"/>
  <c r="D6" i="8"/>
</calcChain>
</file>

<file path=xl/sharedStrings.xml><?xml version="1.0" encoding="utf-8"?>
<sst xmlns="http://schemas.openxmlformats.org/spreadsheetml/2006/main" count="43" uniqueCount="9">
  <si>
    <t>Quarter</t>
  </si>
  <si>
    <t>Revenue (million)</t>
  </si>
  <si>
    <t>Net profit (million)</t>
  </si>
  <si>
    <t>Expenses (million)</t>
  </si>
  <si>
    <t>Month</t>
  </si>
  <si>
    <t>Forecast(Net profit (million))</t>
  </si>
  <si>
    <t>Lower Confidence Bound(Net profit (million))</t>
  </si>
  <si>
    <t>Upper Confidence Bound(Net profit (million))</t>
  </si>
  <si>
    <t>=IF(B2&gt;B3;"In the third quarter, strengthen cost control and look for new sales channels.";"Invest in expansion in 3 quarters.")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</si>
</sst>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164" fontId="2" fillId="0" borderId="1" xfId="0" applyNumberFormat="1" applyFont="1" applyBorder="1"/>
  </cellXfs>
  <cellStyles count="1">
    <cellStyle name="Обычный" xfId="0" builtinId="0"/>
  </cellStyles>
  <dxfs count="7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Net profit (million)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Sheet6!$B$2:$B$6</c:f>
              <c:numCache>
                <c:formatCode>_-[$$-409]* #\ ##0.00_ ;_-[$$-409]* \-#\ ##0.00\ ;_-[$$-409]* "-"??_ ;_-@_ </c:formatCode>
                <c:ptCount val="5"/>
                <c:pt idx="0">
                  <c:v>48.5</c:v>
                </c:pt>
                <c:pt idx="1">
                  <c:v>47.38</c:v>
                </c:pt>
                <c:pt idx="2">
                  <c:v>48.1875</c:v>
                </c:pt>
                <c:pt idx="3">
                  <c:v>51.145833333333336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AE-4983-80D6-4BDDBECF44C1}"/>
            </c:ext>
          </c:extLst>
        </c:ser>
        <c:ser>
          <c:idx val="1"/>
          <c:order val="1"/>
          <c:tx>
            <c:strRef>
              <c:f>Sheet6!$C$1</c:f>
              <c:strCache>
                <c:ptCount val="1"/>
                <c:pt idx="0">
                  <c:v>Forecast(Net profit (million))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Sheet6!$A$2:$A$6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Sheet6!$C$2:$C$6</c:f>
              <c:numCache>
                <c:formatCode>General</c:formatCode>
                <c:ptCount val="5"/>
                <c:pt idx="3" formatCode="_-[$$-409]* #\ ##0.00_ ;_-[$$-409]* \-#\ ##0.00\ ;_-[$$-409]* &quot;-&quot;??_ ;_-@_ ">
                  <c:v>51.145833333333336</c:v>
                </c:pt>
                <c:pt idx="4" formatCode="_-[$$-409]* #\ ##0.00_ ;_-[$$-409]* \-#\ ##0.00\ ;_-[$$-409]* &quot;-&quot;??_ ;_-@_ ">
                  <c:v>51.530901180692297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AE-4983-80D6-4BDDBECF44C1}"/>
            </c:ext>
          </c:extLst>
        </c:ser>
        <c:ser>
          <c:idx val="2"/>
          <c:order val="2"/>
          <c:tx>
            <c:strRef>
              <c:f>Sheet6!$D$1</c:f>
              <c:strCache>
                <c:ptCount val="1"/>
                <c:pt idx="0">
                  <c:v>Lower Confidence Bound(Net profit (million))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Sheet6!$A$2:$A$6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Sheet6!$D$2:$D$6</c:f>
              <c:numCache>
                <c:formatCode>General</c:formatCode>
                <c:ptCount val="5"/>
                <c:pt idx="3" formatCode="_-[$$-409]* #\ ##0.00_ ;_-[$$-409]* \-#\ ##0.00\ ;_-[$$-409]* &quot;-&quot;??_ ;_-@_ ">
                  <c:v>51.145833333333336</c:v>
                </c:pt>
                <c:pt idx="4" formatCode="_-[$$-409]* #\ ##0.00_ ;_-[$$-409]* \-#\ ##0.00\ ;_-[$$-409]* &quot;-&quot;??_ ;_-@_ ">
                  <c:v>48.813387409083504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AE-4983-80D6-4BDDBECF44C1}"/>
            </c:ext>
          </c:extLst>
        </c:ser>
        <c:ser>
          <c:idx val="3"/>
          <c:order val="3"/>
          <c:tx>
            <c:strRef>
              <c:f>Sheet6!$E$1</c:f>
              <c:strCache>
                <c:ptCount val="1"/>
                <c:pt idx="0">
                  <c:v>Upper Confidence Bound(Net profit (million))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Sheet6!$A$2:$A$6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Sheet6!$E$2:$E$6</c:f>
              <c:numCache>
                <c:formatCode>General</c:formatCode>
                <c:ptCount val="5"/>
                <c:pt idx="3" formatCode="_-[$$-409]* #\ ##0.00_ ;_-[$$-409]* \-#\ ##0.00\ ;_-[$$-409]* &quot;-&quot;??_ ;_-@_ ">
                  <c:v>51.145833333333336</c:v>
                </c:pt>
                <c:pt idx="4" formatCode="_-[$$-409]* #\ ##0.00_ ;_-[$$-409]* \-#\ ##0.00\ ;_-[$$-409]* &quot;-&quot;??_ ;_-@_ ">
                  <c:v>54.24841495230109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AE-4983-80D6-4BDDBECF4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908880"/>
        <c:axId val="1239899280"/>
      </c:lineChart>
      <c:catAx>
        <c:axId val="123990888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99280"/>
        <c:crosses val="autoZero"/>
        <c:auto val="1"/>
        <c:lblAlgn val="ctr"/>
        <c:lblOffset val="100"/>
        <c:noMultiLvlLbl val="0"/>
      </c:catAx>
      <c:valAx>
        <c:axId val="123989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90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Net profit (million)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Sheet7!$B$2:$B$6</c:f>
              <c:numCache>
                <c:formatCode>_-[$$-409]* #\ ##0.00_ ;_-[$$-409]* \-#\ ##0.00\ ;_-[$$-409]* "-"??_ ;_-@_ </c:formatCode>
                <c:ptCount val="5"/>
                <c:pt idx="0">
                  <c:v>48.5</c:v>
                </c:pt>
                <c:pt idx="1">
                  <c:v>47.38</c:v>
                </c:pt>
                <c:pt idx="2">
                  <c:v>48.1875</c:v>
                </c:pt>
                <c:pt idx="3">
                  <c:v>51.145833333333336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49-4184-9157-15FC3C067F5D}"/>
            </c:ext>
          </c:extLst>
        </c:ser>
        <c:ser>
          <c:idx val="1"/>
          <c:order val="1"/>
          <c:tx>
            <c:strRef>
              <c:f>Sheet7!$C$1</c:f>
              <c:strCache>
                <c:ptCount val="1"/>
                <c:pt idx="0">
                  <c:v>Forecast(Net profit (million))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Sheet7!$A$2:$A$6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Sheet7!$C$2:$C$6</c:f>
              <c:numCache>
                <c:formatCode>General</c:formatCode>
                <c:ptCount val="5"/>
                <c:pt idx="3" formatCode="_-[$$-409]* #\ ##0.00_ ;_-[$$-409]* \-#\ ##0.00\ ;_-[$$-409]* &quot;-&quot;??_ ;_-@_ ">
                  <c:v>51.145833333333336</c:v>
                </c:pt>
                <c:pt idx="4" formatCode="_-[$$-409]* #\ ##0.00_ ;_-[$$-409]* \-#\ ##0.00\ ;_-[$$-409]* &quot;-&quot;??_ ;_-@_ ">
                  <c:v>51.530901180692297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49-4184-9157-15FC3C067F5D}"/>
            </c:ext>
          </c:extLst>
        </c:ser>
        <c:ser>
          <c:idx val="2"/>
          <c:order val="2"/>
          <c:tx>
            <c:strRef>
              <c:f>Sheet7!$D$1</c:f>
              <c:strCache>
                <c:ptCount val="1"/>
                <c:pt idx="0">
                  <c:v>Lower Confidence Bound(Net profit (million))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Sheet7!$A$2:$A$6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Sheet7!$D$2:$D$6</c:f>
              <c:numCache>
                <c:formatCode>General</c:formatCode>
                <c:ptCount val="5"/>
                <c:pt idx="3" formatCode="_-[$$-409]* #\ ##0.00_ ;_-[$$-409]* \-#\ ##0.00\ ;_-[$$-409]* &quot;-&quot;??_ ;_-@_ ">
                  <c:v>51.145833333333336</c:v>
                </c:pt>
                <c:pt idx="4" formatCode="_-[$$-409]* #\ ##0.00_ ;_-[$$-409]* \-#\ ##0.00\ ;_-[$$-409]* &quot;-&quot;??_ ;_-@_ ">
                  <c:v>48.813387409083504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49-4184-9157-15FC3C067F5D}"/>
            </c:ext>
          </c:extLst>
        </c:ser>
        <c:ser>
          <c:idx val="3"/>
          <c:order val="3"/>
          <c:tx>
            <c:strRef>
              <c:f>Sheet7!$E$1</c:f>
              <c:strCache>
                <c:ptCount val="1"/>
                <c:pt idx="0">
                  <c:v>Upper Confidence Bound(Net profit (million))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Sheet7!$A$2:$A$6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Sheet7!$E$2:$E$6</c:f>
              <c:numCache>
                <c:formatCode>General</c:formatCode>
                <c:ptCount val="5"/>
                <c:pt idx="3" formatCode="_-[$$-409]* #\ ##0.00_ ;_-[$$-409]* \-#\ ##0.00\ ;_-[$$-409]* &quot;-&quot;??_ ;_-@_ ">
                  <c:v>51.145833333333336</c:v>
                </c:pt>
                <c:pt idx="4" formatCode="_-[$$-409]* #\ ##0.00_ ;_-[$$-409]* \-#\ ##0.00\ ;_-[$$-409]* &quot;-&quot;??_ ;_-@_ ">
                  <c:v>54.24841495230109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49-4184-9157-15FC3C067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905520"/>
        <c:axId val="1239889200"/>
      </c:lineChart>
      <c:catAx>
        <c:axId val="123990552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89200"/>
        <c:crosses val="autoZero"/>
        <c:auto val="1"/>
        <c:lblAlgn val="ctr"/>
        <c:lblOffset val="100"/>
        <c:noMultiLvlLbl val="0"/>
      </c:catAx>
      <c:valAx>
        <c:axId val="123988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90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Net profit (million)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Sheet2!$B$2:$B$6</c:f>
              <c:numCache>
                <c:formatCode>_-[$$-409]* #\ ##0.00_ ;_-[$$-409]* \-#\ ##0.00\ ;_-[$$-409]* "-"??_ ;_-@_ </c:formatCode>
                <c:ptCount val="5"/>
                <c:pt idx="0">
                  <c:v>48.5</c:v>
                </c:pt>
                <c:pt idx="1">
                  <c:v>47.38</c:v>
                </c:pt>
                <c:pt idx="2">
                  <c:v>48.1875</c:v>
                </c:pt>
                <c:pt idx="3">
                  <c:v>51.145833333333336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E2-40E4-A001-7D63F19CC83A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Forecast(Net profit (million))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Sheet2!$C$2:$C$6</c:f>
              <c:numCache>
                <c:formatCode>General</c:formatCode>
                <c:ptCount val="5"/>
                <c:pt idx="3" formatCode="_-[$$-409]* #\ ##0.00_ ;_-[$$-409]* \-#\ ##0.00\ ;_-[$$-409]* &quot;-&quot;??_ ;_-@_ ">
                  <c:v>51.145833333333336</c:v>
                </c:pt>
                <c:pt idx="4" formatCode="_-[$$-409]* #\ ##0.00_ ;_-[$$-409]* \-#\ ##0.00\ ;_-[$$-409]* &quot;-&quot;??_ ;_-@_ ">
                  <c:v>51.530901180692297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E2-40E4-A001-7D63F19CC83A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Lower Confidence Bound(Net profit (million))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Sheet2!$D$2:$D$6</c:f>
              <c:numCache>
                <c:formatCode>General</c:formatCode>
                <c:ptCount val="5"/>
                <c:pt idx="3" formatCode="_-[$$-409]* #\ ##0.00_ ;_-[$$-409]* \-#\ ##0.00\ ;_-[$$-409]* &quot;-&quot;??_ ;_-@_ ">
                  <c:v>51.145833333333336</c:v>
                </c:pt>
                <c:pt idx="4" formatCode="_-[$$-409]* #\ ##0.00_ ;_-[$$-409]* \-#\ ##0.00\ ;_-[$$-409]* &quot;-&quot;??_ ;_-@_ ">
                  <c:v>48.813387409083504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E2-40E4-A001-7D63F19CC83A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Upper Confidence Bound(Net profit (million))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Sheet2!$E$2:$E$6</c:f>
              <c:numCache>
                <c:formatCode>General</c:formatCode>
                <c:ptCount val="5"/>
                <c:pt idx="3" formatCode="_-[$$-409]* #\ ##0.00_ ;_-[$$-409]* \-#\ ##0.00\ ;_-[$$-409]* &quot;-&quot;??_ ;_-@_ ">
                  <c:v>51.145833333333336</c:v>
                </c:pt>
                <c:pt idx="4" formatCode="_-[$$-409]* #\ ##0.00_ ;_-[$$-409]* \-#\ ##0.00\ ;_-[$$-409]* &quot;-&quot;??_ ;_-@_ ">
                  <c:v>54.24841495230109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E2-40E4-A001-7D63F19CC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8732207"/>
        <c:axId val="628737967"/>
      </c:lineChart>
      <c:catAx>
        <c:axId val="62873220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37967"/>
        <c:crosses val="autoZero"/>
        <c:auto val="1"/>
        <c:lblAlgn val="ctr"/>
        <c:lblOffset val="100"/>
        <c:noMultiLvlLbl val="0"/>
      </c:catAx>
      <c:valAx>
        <c:axId val="62873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3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Net profit (million)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Sheet3!$B$2:$B$6</c:f>
              <c:numCache>
                <c:formatCode>_-[$$-409]* #\ ##0.00_ ;_-[$$-409]* \-#\ ##0.00\ ;_-[$$-409]* "-"??_ ;_-@_ </c:formatCode>
                <c:ptCount val="5"/>
                <c:pt idx="0">
                  <c:v>48.5</c:v>
                </c:pt>
                <c:pt idx="1">
                  <c:v>47.38</c:v>
                </c:pt>
                <c:pt idx="2">
                  <c:v>48.1875</c:v>
                </c:pt>
                <c:pt idx="3">
                  <c:v>51.145833333333336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7E-4B18-877E-2FD9FC529AF3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Forecast(Net profit (million))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Sheet3!$C$2:$C$6</c:f>
              <c:numCache>
                <c:formatCode>General</c:formatCode>
                <c:ptCount val="5"/>
                <c:pt idx="3" formatCode="_-[$$-409]* #\ ##0.00_ ;_-[$$-409]* \-#\ ##0.00\ ;_-[$$-409]* &quot;-&quot;??_ ;_-@_ ">
                  <c:v>51.145833333333336</c:v>
                </c:pt>
                <c:pt idx="4" formatCode="_-[$$-409]* #\ ##0.00_ ;_-[$$-409]* \-#\ ##0.00\ ;_-[$$-409]* &quot;-&quot;??_ ;_-@_ ">
                  <c:v>51.530901180692297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7E-4B18-877E-2FD9FC529AF3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Lower Confidence Bound(Net profit (million))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Sheet3!$A$2:$A$6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Sheet3!$D$2:$D$6</c:f>
              <c:numCache>
                <c:formatCode>General</c:formatCode>
                <c:ptCount val="5"/>
                <c:pt idx="3" formatCode="_-[$$-409]* #\ ##0.00_ ;_-[$$-409]* \-#\ ##0.00\ ;_-[$$-409]* &quot;-&quot;??_ ;_-@_ ">
                  <c:v>51.145833333333336</c:v>
                </c:pt>
                <c:pt idx="4" formatCode="_-[$$-409]* #\ ##0.00_ ;_-[$$-409]* \-#\ ##0.00\ ;_-[$$-409]* &quot;-&quot;??_ ;_-@_ ">
                  <c:v>48.813387409083504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7E-4B18-877E-2FD9FC529AF3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Upper Confidence Bound(Net profit (million))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Sheet3!$A$2:$A$6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Sheet3!$E$2:$E$6</c:f>
              <c:numCache>
                <c:formatCode>General</c:formatCode>
                <c:ptCount val="5"/>
                <c:pt idx="3" formatCode="_-[$$-409]* #\ ##0.00_ ;_-[$$-409]* \-#\ ##0.00\ ;_-[$$-409]* &quot;-&quot;??_ ;_-@_ ">
                  <c:v>51.145833333333336</c:v>
                </c:pt>
                <c:pt idx="4" formatCode="_-[$$-409]* #\ ##0.00_ ;_-[$$-409]* \-#\ ##0.00\ ;_-[$$-409]* &quot;-&quot;??_ ;_-@_ ">
                  <c:v>54.24841495230109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7E-4B18-877E-2FD9FC529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8732687"/>
        <c:axId val="628733647"/>
      </c:lineChart>
      <c:catAx>
        <c:axId val="62873268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33647"/>
        <c:crosses val="autoZero"/>
        <c:auto val="1"/>
        <c:lblAlgn val="ctr"/>
        <c:lblOffset val="100"/>
        <c:noMultiLvlLbl val="0"/>
      </c:catAx>
      <c:valAx>
        <c:axId val="62873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3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Net profit (million)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Sheet4!$B$2:$B$6</c:f>
              <c:numCache>
                <c:formatCode>_-[$$-409]* #\ ##0.00_ ;_-[$$-409]* \-#\ ##0.00\ ;_-[$$-409]* "-"??_ ;_-@_ </c:formatCode>
                <c:ptCount val="5"/>
                <c:pt idx="0">
                  <c:v>48.5</c:v>
                </c:pt>
                <c:pt idx="1">
                  <c:v>47.38</c:v>
                </c:pt>
                <c:pt idx="2">
                  <c:v>48.1875</c:v>
                </c:pt>
                <c:pt idx="3">
                  <c:v>51.145833333333336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2A-4819-AC6B-0C40B9C5190F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Forecast(Net profit (million))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Sheet4!$A$2:$A$6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Sheet4!$C$2:$C$6</c:f>
              <c:numCache>
                <c:formatCode>General</c:formatCode>
                <c:ptCount val="5"/>
                <c:pt idx="3" formatCode="_-[$$-409]* #\ ##0.00_ ;_-[$$-409]* \-#\ ##0.00\ ;_-[$$-409]* &quot;-&quot;??_ ;_-@_ ">
                  <c:v>51.145833333333336</c:v>
                </c:pt>
                <c:pt idx="4" formatCode="_-[$$-409]* #\ ##0.00_ ;_-[$$-409]* \-#\ ##0.00\ ;_-[$$-409]* &quot;-&quot;??_ ;_-@_ ">
                  <c:v>51.530901180692297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2A-4819-AC6B-0C40B9C5190F}"/>
            </c:ext>
          </c:extLst>
        </c:ser>
        <c:ser>
          <c:idx val="2"/>
          <c:order val="2"/>
          <c:tx>
            <c:strRef>
              <c:f>Sheet4!$D$1</c:f>
              <c:strCache>
                <c:ptCount val="1"/>
                <c:pt idx="0">
                  <c:v>Lower Confidence Bound(Net profit (million))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Sheet4!$A$2:$A$6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Sheet4!$D$2:$D$6</c:f>
              <c:numCache>
                <c:formatCode>General</c:formatCode>
                <c:ptCount val="5"/>
                <c:pt idx="3" formatCode="_-[$$-409]* #\ ##0.00_ ;_-[$$-409]* \-#\ ##0.00\ ;_-[$$-409]* &quot;-&quot;??_ ;_-@_ ">
                  <c:v>51.145833333333336</c:v>
                </c:pt>
                <c:pt idx="4" formatCode="_-[$$-409]* #\ ##0.00_ ;_-[$$-409]* \-#\ ##0.00\ ;_-[$$-409]* &quot;-&quot;??_ ;_-@_ ">
                  <c:v>48.813387409083504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2A-4819-AC6B-0C40B9C5190F}"/>
            </c:ext>
          </c:extLst>
        </c:ser>
        <c:ser>
          <c:idx val="3"/>
          <c:order val="3"/>
          <c:tx>
            <c:strRef>
              <c:f>Sheet4!$E$1</c:f>
              <c:strCache>
                <c:ptCount val="1"/>
                <c:pt idx="0">
                  <c:v>Upper Confidence Bound(Net profit (million))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Sheet4!$A$2:$A$6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Sheet4!$E$2:$E$6</c:f>
              <c:numCache>
                <c:formatCode>General</c:formatCode>
                <c:ptCount val="5"/>
                <c:pt idx="3" formatCode="_-[$$-409]* #\ ##0.00_ ;_-[$$-409]* \-#\ ##0.00\ ;_-[$$-409]* &quot;-&quot;??_ ;_-@_ ">
                  <c:v>51.145833333333336</c:v>
                </c:pt>
                <c:pt idx="4" formatCode="_-[$$-409]* #\ ##0.00_ ;_-[$$-409]* \-#\ ##0.00\ ;_-[$$-409]* &quot;-&quot;??_ ;_-@_ ">
                  <c:v>54.24841495230109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2A-4819-AC6B-0C40B9C51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8752847"/>
        <c:axId val="628755727"/>
      </c:lineChart>
      <c:catAx>
        <c:axId val="62875284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55727"/>
        <c:crosses val="autoZero"/>
        <c:auto val="1"/>
        <c:lblAlgn val="ctr"/>
        <c:lblOffset val="100"/>
        <c:noMultiLvlLbl val="0"/>
      </c:catAx>
      <c:valAx>
        <c:axId val="62875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5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Net profit (million)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Sheet5!$B$2:$B$6</c:f>
              <c:numCache>
                <c:formatCode>_-[$$-409]* #\ ##0.00_ ;_-[$$-409]* \-#\ ##0.00\ ;_-[$$-409]* "-"??_ ;_-@_ </c:formatCode>
                <c:ptCount val="5"/>
                <c:pt idx="0">
                  <c:v>48.5</c:v>
                </c:pt>
                <c:pt idx="1">
                  <c:v>47.38</c:v>
                </c:pt>
                <c:pt idx="2">
                  <c:v>48.1875</c:v>
                </c:pt>
                <c:pt idx="3">
                  <c:v>51.145833333333336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DA-4594-BC1B-752CF692E545}"/>
            </c:ext>
          </c:extLst>
        </c:ser>
        <c:ser>
          <c:idx val="1"/>
          <c:order val="1"/>
          <c:tx>
            <c:strRef>
              <c:f>Sheet5!$C$1</c:f>
              <c:strCache>
                <c:ptCount val="1"/>
                <c:pt idx="0">
                  <c:v>Forecast(Net profit (million))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Sheet5!$A$2:$A$6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Sheet5!$C$2:$C$6</c:f>
              <c:numCache>
                <c:formatCode>General</c:formatCode>
                <c:ptCount val="5"/>
                <c:pt idx="3" formatCode="_-[$$-409]* #\ ##0.00_ ;_-[$$-409]* \-#\ ##0.00\ ;_-[$$-409]* &quot;-&quot;??_ ;_-@_ ">
                  <c:v>51.145833333333336</c:v>
                </c:pt>
                <c:pt idx="4" formatCode="_-[$$-409]* #\ ##0.00_ ;_-[$$-409]* \-#\ ##0.00\ ;_-[$$-409]* &quot;-&quot;??_ ;_-@_ ">
                  <c:v>51.530901180692297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DA-4594-BC1B-752CF692E545}"/>
            </c:ext>
          </c:extLst>
        </c:ser>
        <c:ser>
          <c:idx val="2"/>
          <c:order val="2"/>
          <c:tx>
            <c:strRef>
              <c:f>Sheet5!$D$1</c:f>
              <c:strCache>
                <c:ptCount val="1"/>
                <c:pt idx="0">
                  <c:v>Lower Confidence Bound(Net profit (million))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Sheet5!$A$2:$A$6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Sheet5!$D$2:$D$6</c:f>
              <c:numCache>
                <c:formatCode>General</c:formatCode>
                <c:ptCount val="5"/>
                <c:pt idx="3" formatCode="_-[$$-409]* #\ ##0.00_ ;_-[$$-409]* \-#\ ##0.00\ ;_-[$$-409]* &quot;-&quot;??_ ;_-@_ ">
                  <c:v>51.145833333333336</c:v>
                </c:pt>
                <c:pt idx="4" formatCode="_-[$$-409]* #\ ##0.00_ ;_-[$$-409]* \-#\ ##0.00\ ;_-[$$-409]* &quot;-&quot;??_ ;_-@_ ">
                  <c:v>48.813387409083504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DA-4594-BC1B-752CF692E545}"/>
            </c:ext>
          </c:extLst>
        </c:ser>
        <c:ser>
          <c:idx val="3"/>
          <c:order val="3"/>
          <c:tx>
            <c:strRef>
              <c:f>Sheet5!$E$1</c:f>
              <c:strCache>
                <c:ptCount val="1"/>
                <c:pt idx="0">
                  <c:v>Upper Confidence Bound(Net profit (million))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Sheet5!$A$2:$A$6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Sheet5!$E$2:$E$6</c:f>
              <c:numCache>
                <c:formatCode>General</c:formatCode>
                <c:ptCount val="5"/>
                <c:pt idx="3" formatCode="_-[$$-409]* #\ ##0.00_ ;_-[$$-409]* \-#\ ##0.00\ ;_-[$$-409]* &quot;-&quot;??_ ;_-@_ ">
                  <c:v>51.145833333333336</c:v>
                </c:pt>
                <c:pt idx="4" formatCode="_-[$$-409]* #\ ##0.00_ ;_-[$$-409]* \-#\ ##0.00\ ;_-[$$-409]* &quot;-&quot;??_ ;_-@_ ">
                  <c:v>54.24841495230109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DA-4594-BC1B-752CF692E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8773007"/>
        <c:axId val="628785967"/>
      </c:lineChart>
      <c:catAx>
        <c:axId val="62877300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85967"/>
        <c:crosses val="autoZero"/>
        <c:auto val="1"/>
        <c:lblAlgn val="ctr"/>
        <c:lblOffset val="100"/>
        <c:noMultiLvlLbl val="0"/>
      </c:catAx>
      <c:valAx>
        <c:axId val="62878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7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Sheet8!$B$1</c:f>
              <c:strCache>
                <c:ptCount val="1"/>
                <c:pt idx="0">
                  <c:v>Net profit (million)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Sheet8!$B$2:$B$6</c:f>
              <c:numCache>
                <c:formatCode>_-[$$-409]* #\ ##0.00_ ;_-[$$-409]* \-#\ ##0.00\ ;_-[$$-409]* "-"??_ ;_-@_ </c:formatCode>
                <c:ptCount val="5"/>
                <c:pt idx="0">
                  <c:v>48.5</c:v>
                </c:pt>
                <c:pt idx="1">
                  <c:v>47.38</c:v>
                </c:pt>
                <c:pt idx="2">
                  <c:v>48.1875</c:v>
                </c:pt>
                <c:pt idx="3">
                  <c:v>51.145833333333336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2-4678-B67D-27C0F9C6DB02}"/>
            </c:ext>
          </c:extLst>
        </c:ser>
        <c:ser>
          <c:idx val="1"/>
          <c:order val="1"/>
          <c:tx>
            <c:strRef>
              <c:f>Sheet8!$C$1</c:f>
              <c:strCache>
                <c:ptCount val="1"/>
                <c:pt idx="0">
                  <c:v>Forecast(Net profit (million))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Sheet8!$A$2:$A$6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Sheet8!$C$2:$C$6</c:f>
              <c:numCache>
                <c:formatCode>General</c:formatCode>
                <c:ptCount val="5"/>
                <c:pt idx="3" formatCode="_-[$$-409]* #\ ##0.00_ ;_-[$$-409]* \-#\ ##0.00\ ;_-[$$-409]* &quot;-&quot;??_ ;_-@_ ">
                  <c:v>51.145833333333336</c:v>
                </c:pt>
                <c:pt idx="4" formatCode="_-[$$-409]* #\ ##0.00_ ;_-[$$-409]* \-#\ ##0.00\ ;_-[$$-409]* &quot;-&quot;??_ ;_-@_ ">
                  <c:v>51.530901180692297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22-4678-B67D-27C0F9C6DB02}"/>
            </c:ext>
          </c:extLst>
        </c:ser>
        <c:ser>
          <c:idx val="2"/>
          <c:order val="2"/>
          <c:tx>
            <c:strRef>
              <c:f>Sheet8!$D$1</c:f>
              <c:strCache>
                <c:ptCount val="1"/>
                <c:pt idx="0">
                  <c:v>Lower Confidence Bound(Net profit (million))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Sheet8!$A$2:$A$6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Sheet8!$D$2:$D$6</c:f>
              <c:numCache>
                <c:formatCode>General</c:formatCode>
                <c:ptCount val="5"/>
                <c:pt idx="3" formatCode="_-[$$-409]* #\ ##0.00_ ;_-[$$-409]* \-#\ ##0.00\ ;_-[$$-409]* &quot;-&quot;??_ ;_-@_ ">
                  <c:v>51.145833333333336</c:v>
                </c:pt>
                <c:pt idx="4" formatCode="_-[$$-409]* #\ ##0.00_ ;_-[$$-409]* \-#\ ##0.00\ ;_-[$$-409]* &quot;-&quot;??_ ;_-@_ ">
                  <c:v>48.813387409083504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22-4678-B67D-27C0F9C6DB02}"/>
            </c:ext>
          </c:extLst>
        </c:ser>
        <c:ser>
          <c:idx val="3"/>
          <c:order val="3"/>
          <c:tx>
            <c:strRef>
              <c:f>Sheet8!$E$1</c:f>
              <c:strCache>
                <c:ptCount val="1"/>
                <c:pt idx="0">
                  <c:v>Upper Confidence Bound(Net profit (million))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Sheet8!$A$2:$A$6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Sheet8!$E$2:$E$6</c:f>
              <c:numCache>
                <c:formatCode>General</c:formatCode>
                <c:ptCount val="5"/>
                <c:pt idx="3" formatCode="_-[$$-409]* #\ ##0.00_ ;_-[$$-409]* \-#\ ##0.00\ ;_-[$$-409]* &quot;-&quot;??_ ;_-@_ ">
                  <c:v>51.145833333333336</c:v>
                </c:pt>
                <c:pt idx="4" formatCode="_-[$$-409]* #\ ##0.00_ ;_-[$$-409]* \-#\ ##0.00\ ;_-[$$-409]* &quot;-&quot;??_ ;_-@_ ">
                  <c:v>54.24841495230109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22-4678-B67D-27C0F9C6D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935567"/>
        <c:axId val="333936527"/>
      </c:lineChart>
      <c:catAx>
        <c:axId val="33393556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936527"/>
        <c:crosses val="autoZero"/>
        <c:auto val="1"/>
        <c:lblAlgn val="ctr"/>
        <c:lblOffset val="100"/>
        <c:noMultiLvlLbl val="0"/>
      </c:catAx>
      <c:valAx>
        <c:axId val="33393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9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Revenue (million)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Sheet1!$C$3:$C$102</c:f>
              <c:numCache>
                <c:formatCode>_-[$$-409]* #\ ##0.00_ ;_-[$$-409]* \-#\ ##0.00\ ;_-[$$-409]* "-"??_ ;_-@_ </c:formatCode>
                <c:ptCount val="10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18</c:v>
                </c:pt>
                <c:pt idx="4">
                  <c:v>14</c:v>
                </c:pt>
                <c:pt idx="5">
                  <c:v>16</c:v>
                </c:pt>
                <c:pt idx="6">
                  <c:v>20</c:v>
                </c:pt>
                <c:pt idx="7">
                  <c:v>22</c:v>
                </c:pt>
                <c:pt idx="8">
                  <c:v>25</c:v>
                </c:pt>
                <c:pt idx="9">
                  <c:v>30</c:v>
                </c:pt>
                <c:pt idx="10">
                  <c:v>28</c:v>
                </c:pt>
                <c:pt idx="11">
                  <c:v>32</c:v>
                </c:pt>
                <c:pt idx="12">
                  <c:v>35</c:v>
                </c:pt>
                <c:pt idx="13">
                  <c:v>38</c:v>
                </c:pt>
                <c:pt idx="14">
                  <c:v>36</c:v>
                </c:pt>
                <c:pt idx="15">
                  <c:v>40</c:v>
                </c:pt>
                <c:pt idx="16">
                  <c:v>42</c:v>
                </c:pt>
                <c:pt idx="17">
                  <c:v>45</c:v>
                </c:pt>
                <c:pt idx="18">
                  <c:v>48</c:v>
                </c:pt>
                <c:pt idx="19">
                  <c:v>50</c:v>
                </c:pt>
                <c:pt idx="20">
                  <c:v>52</c:v>
                </c:pt>
                <c:pt idx="21">
                  <c:v>55</c:v>
                </c:pt>
                <c:pt idx="22">
                  <c:v>58</c:v>
                </c:pt>
                <c:pt idx="23">
                  <c:v>60</c:v>
                </c:pt>
                <c:pt idx="24">
                  <c:v>62</c:v>
                </c:pt>
                <c:pt idx="25">
                  <c:v>65</c:v>
                </c:pt>
                <c:pt idx="26">
                  <c:v>68</c:v>
                </c:pt>
                <c:pt idx="27">
                  <c:v>70</c:v>
                </c:pt>
                <c:pt idx="28">
                  <c:v>72</c:v>
                </c:pt>
                <c:pt idx="29">
                  <c:v>75</c:v>
                </c:pt>
                <c:pt idx="30">
                  <c:v>78</c:v>
                </c:pt>
                <c:pt idx="31">
                  <c:v>80</c:v>
                </c:pt>
                <c:pt idx="32">
                  <c:v>82</c:v>
                </c:pt>
                <c:pt idx="33">
                  <c:v>85</c:v>
                </c:pt>
                <c:pt idx="34">
                  <c:v>88</c:v>
                </c:pt>
                <c:pt idx="35">
                  <c:v>90</c:v>
                </c:pt>
                <c:pt idx="36">
                  <c:v>92</c:v>
                </c:pt>
                <c:pt idx="37">
                  <c:v>95</c:v>
                </c:pt>
                <c:pt idx="38">
                  <c:v>98</c:v>
                </c:pt>
                <c:pt idx="39">
                  <c:v>100</c:v>
                </c:pt>
                <c:pt idx="40">
                  <c:v>102</c:v>
                </c:pt>
                <c:pt idx="41">
                  <c:v>105</c:v>
                </c:pt>
                <c:pt idx="42">
                  <c:v>108</c:v>
                </c:pt>
                <c:pt idx="43">
                  <c:v>110</c:v>
                </c:pt>
                <c:pt idx="44">
                  <c:v>112</c:v>
                </c:pt>
                <c:pt idx="45">
                  <c:v>115</c:v>
                </c:pt>
                <c:pt idx="46">
                  <c:v>118</c:v>
                </c:pt>
                <c:pt idx="47">
                  <c:v>120</c:v>
                </c:pt>
                <c:pt idx="48">
                  <c:v>122</c:v>
                </c:pt>
                <c:pt idx="49">
                  <c:v>125</c:v>
                </c:pt>
                <c:pt idx="50">
                  <c:v>128</c:v>
                </c:pt>
                <c:pt idx="51">
                  <c:v>130</c:v>
                </c:pt>
                <c:pt idx="52">
                  <c:v>132</c:v>
                </c:pt>
                <c:pt idx="53">
                  <c:v>135</c:v>
                </c:pt>
                <c:pt idx="54">
                  <c:v>138</c:v>
                </c:pt>
                <c:pt idx="55">
                  <c:v>140</c:v>
                </c:pt>
                <c:pt idx="56">
                  <c:v>142</c:v>
                </c:pt>
                <c:pt idx="57">
                  <c:v>145</c:v>
                </c:pt>
                <c:pt idx="58">
                  <c:v>148</c:v>
                </c:pt>
                <c:pt idx="59">
                  <c:v>150</c:v>
                </c:pt>
                <c:pt idx="60">
                  <c:v>152</c:v>
                </c:pt>
                <c:pt idx="61">
                  <c:v>155</c:v>
                </c:pt>
                <c:pt idx="62">
                  <c:v>158</c:v>
                </c:pt>
                <c:pt idx="63">
                  <c:v>160</c:v>
                </c:pt>
                <c:pt idx="64">
                  <c:v>162</c:v>
                </c:pt>
                <c:pt idx="65">
                  <c:v>165</c:v>
                </c:pt>
                <c:pt idx="66">
                  <c:v>168</c:v>
                </c:pt>
                <c:pt idx="67">
                  <c:v>170</c:v>
                </c:pt>
                <c:pt idx="68">
                  <c:v>172</c:v>
                </c:pt>
                <c:pt idx="69">
                  <c:v>175</c:v>
                </c:pt>
                <c:pt idx="70">
                  <c:v>178</c:v>
                </c:pt>
                <c:pt idx="71">
                  <c:v>180</c:v>
                </c:pt>
                <c:pt idx="72">
                  <c:v>182</c:v>
                </c:pt>
                <c:pt idx="73">
                  <c:v>185</c:v>
                </c:pt>
                <c:pt idx="74">
                  <c:v>188</c:v>
                </c:pt>
                <c:pt idx="75">
                  <c:v>190</c:v>
                </c:pt>
                <c:pt idx="76">
                  <c:v>192</c:v>
                </c:pt>
                <c:pt idx="77">
                  <c:v>195</c:v>
                </c:pt>
                <c:pt idx="78">
                  <c:v>198</c:v>
                </c:pt>
                <c:pt idx="79">
                  <c:v>200</c:v>
                </c:pt>
                <c:pt idx="80">
                  <c:v>202</c:v>
                </c:pt>
                <c:pt idx="81">
                  <c:v>205</c:v>
                </c:pt>
                <c:pt idx="82">
                  <c:v>208</c:v>
                </c:pt>
                <c:pt idx="83">
                  <c:v>210</c:v>
                </c:pt>
                <c:pt idx="84">
                  <c:v>212</c:v>
                </c:pt>
                <c:pt idx="85">
                  <c:v>215</c:v>
                </c:pt>
                <c:pt idx="86">
                  <c:v>218</c:v>
                </c:pt>
                <c:pt idx="87">
                  <c:v>220</c:v>
                </c:pt>
                <c:pt idx="88">
                  <c:v>222</c:v>
                </c:pt>
                <c:pt idx="89">
                  <c:v>225</c:v>
                </c:pt>
                <c:pt idx="90">
                  <c:v>228</c:v>
                </c:pt>
                <c:pt idx="91">
                  <c:v>230</c:v>
                </c:pt>
                <c:pt idx="92">
                  <c:v>232</c:v>
                </c:pt>
                <c:pt idx="93">
                  <c:v>235</c:v>
                </c:pt>
                <c:pt idx="94">
                  <c:v>238</c:v>
                </c:pt>
                <c:pt idx="95">
                  <c:v>240</c:v>
                </c:pt>
                <c:pt idx="96">
                  <c:v>242</c:v>
                </c:pt>
                <c:pt idx="97">
                  <c:v>245</c:v>
                </c:pt>
                <c:pt idx="98">
                  <c:v>248</c:v>
                </c:pt>
                <c:pt idx="9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DC-47E7-AB9F-3543E7BFFBED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Net profit (million)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Sheet1!$D$3:$D$102</c:f>
              <c:numCache>
                <c:formatCode>_-[$$-409]* #\ ##0.00_ ;_-[$$-409]* \-#\ ##0.00\ ;_-[$$-409]* "-"??_ ;_-@_ </c:formatCode>
                <c:ptCount val="10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4.5</c:v>
                </c:pt>
                <c:pt idx="5">
                  <c:v>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10</c:v>
                </c:pt>
                <c:pt idx="10">
                  <c:v>9.5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12.5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DC-47E7-AB9F-3543E7BFF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902160"/>
        <c:axId val="1239890640"/>
      </c:lineChart>
      <c:catAx>
        <c:axId val="1239902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890640"/>
        <c:crosses val="autoZero"/>
        <c:auto val="1"/>
        <c:lblAlgn val="ctr"/>
        <c:lblOffset val="100"/>
        <c:noMultiLvlLbl val="0"/>
      </c:catAx>
      <c:valAx>
        <c:axId val="123989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90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Revenue (million)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Sheet1!$C$3:$C$102</c:f>
              <c:numCache>
                <c:formatCode>_-[$$-409]* #\ ##0.00_ ;_-[$$-409]* \-#\ ##0.00\ ;_-[$$-409]* "-"??_ ;_-@_ </c:formatCode>
                <c:ptCount val="10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18</c:v>
                </c:pt>
                <c:pt idx="4">
                  <c:v>14</c:v>
                </c:pt>
                <c:pt idx="5">
                  <c:v>16</c:v>
                </c:pt>
                <c:pt idx="6">
                  <c:v>20</c:v>
                </c:pt>
                <c:pt idx="7">
                  <c:v>22</c:v>
                </c:pt>
                <c:pt idx="8">
                  <c:v>25</c:v>
                </c:pt>
                <c:pt idx="9">
                  <c:v>30</c:v>
                </c:pt>
                <c:pt idx="10">
                  <c:v>28</c:v>
                </c:pt>
                <c:pt idx="11">
                  <c:v>32</c:v>
                </c:pt>
                <c:pt idx="12">
                  <c:v>35</c:v>
                </c:pt>
                <c:pt idx="13">
                  <c:v>38</c:v>
                </c:pt>
                <c:pt idx="14">
                  <c:v>36</c:v>
                </c:pt>
                <c:pt idx="15">
                  <c:v>40</c:v>
                </c:pt>
                <c:pt idx="16">
                  <c:v>42</c:v>
                </c:pt>
                <c:pt idx="17">
                  <c:v>45</c:v>
                </c:pt>
                <c:pt idx="18">
                  <c:v>48</c:v>
                </c:pt>
                <c:pt idx="19">
                  <c:v>50</c:v>
                </c:pt>
                <c:pt idx="20">
                  <c:v>52</c:v>
                </c:pt>
                <c:pt idx="21">
                  <c:v>55</c:v>
                </c:pt>
                <c:pt idx="22">
                  <c:v>58</c:v>
                </c:pt>
                <c:pt idx="23">
                  <c:v>60</c:v>
                </c:pt>
                <c:pt idx="24">
                  <c:v>62</c:v>
                </c:pt>
                <c:pt idx="25">
                  <c:v>65</c:v>
                </c:pt>
                <c:pt idx="26">
                  <c:v>68</c:v>
                </c:pt>
                <c:pt idx="27">
                  <c:v>70</c:v>
                </c:pt>
                <c:pt idx="28">
                  <c:v>72</c:v>
                </c:pt>
                <c:pt idx="29">
                  <c:v>75</c:v>
                </c:pt>
                <c:pt idx="30">
                  <c:v>78</c:v>
                </c:pt>
                <c:pt idx="31">
                  <c:v>80</c:v>
                </c:pt>
                <c:pt idx="32">
                  <c:v>82</c:v>
                </c:pt>
                <c:pt idx="33">
                  <c:v>85</c:v>
                </c:pt>
                <c:pt idx="34">
                  <c:v>88</c:v>
                </c:pt>
                <c:pt idx="35">
                  <c:v>90</c:v>
                </c:pt>
                <c:pt idx="36">
                  <c:v>92</c:v>
                </c:pt>
                <c:pt idx="37">
                  <c:v>95</c:v>
                </c:pt>
                <c:pt idx="38">
                  <c:v>98</c:v>
                </c:pt>
                <c:pt idx="39">
                  <c:v>100</c:v>
                </c:pt>
                <c:pt idx="40">
                  <c:v>102</c:v>
                </c:pt>
                <c:pt idx="41">
                  <c:v>105</c:v>
                </c:pt>
                <c:pt idx="42">
                  <c:v>108</c:v>
                </c:pt>
                <c:pt idx="43">
                  <c:v>110</c:v>
                </c:pt>
                <c:pt idx="44">
                  <c:v>112</c:v>
                </c:pt>
                <c:pt idx="45">
                  <c:v>115</c:v>
                </c:pt>
                <c:pt idx="46">
                  <c:v>118</c:v>
                </c:pt>
                <c:pt idx="47">
                  <c:v>120</c:v>
                </c:pt>
                <c:pt idx="48">
                  <c:v>122</c:v>
                </c:pt>
                <c:pt idx="49">
                  <c:v>125</c:v>
                </c:pt>
                <c:pt idx="50">
                  <c:v>128</c:v>
                </c:pt>
                <c:pt idx="51">
                  <c:v>130</c:v>
                </c:pt>
                <c:pt idx="52">
                  <c:v>132</c:v>
                </c:pt>
                <c:pt idx="53">
                  <c:v>135</c:v>
                </c:pt>
                <c:pt idx="54">
                  <c:v>138</c:v>
                </c:pt>
                <c:pt idx="55">
                  <c:v>140</c:v>
                </c:pt>
                <c:pt idx="56">
                  <c:v>142</c:v>
                </c:pt>
                <c:pt idx="57">
                  <c:v>145</c:v>
                </c:pt>
                <c:pt idx="58">
                  <c:v>148</c:v>
                </c:pt>
                <c:pt idx="59">
                  <c:v>150</c:v>
                </c:pt>
                <c:pt idx="60">
                  <c:v>152</c:v>
                </c:pt>
                <c:pt idx="61">
                  <c:v>155</c:v>
                </c:pt>
                <c:pt idx="62">
                  <c:v>158</c:v>
                </c:pt>
                <c:pt idx="63">
                  <c:v>160</c:v>
                </c:pt>
                <c:pt idx="64">
                  <c:v>162</c:v>
                </c:pt>
                <c:pt idx="65">
                  <c:v>165</c:v>
                </c:pt>
                <c:pt idx="66">
                  <c:v>168</c:v>
                </c:pt>
                <c:pt idx="67">
                  <c:v>170</c:v>
                </c:pt>
                <c:pt idx="68">
                  <c:v>172</c:v>
                </c:pt>
                <c:pt idx="69">
                  <c:v>175</c:v>
                </c:pt>
                <c:pt idx="70">
                  <c:v>178</c:v>
                </c:pt>
                <c:pt idx="71">
                  <c:v>180</c:v>
                </c:pt>
                <c:pt idx="72">
                  <c:v>182</c:v>
                </c:pt>
                <c:pt idx="73">
                  <c:v>185</c:v>
                </c:pt>
                <c:pt idx="74">
                  <c:v>188</c:v>
                </c:pt>
                <c:pt idx="75">
                  <c:v>190</c:v>
                </c:pt>
                <c:pt idx="76">
                  <c:v>192</c:v>
                </c:pt>
                <c:pt idx="77">
                  <c:v>195</c:v>
                </c:pt>
                <c:pt idx="78">
                  <c:v>198</c:v>
                </c:pt>
                <c:pt idx="79">
                  <c:v>200</c:v>
                </c:pt>
                <c:pt idx="80">
                  <c:v>202</c:v>
                </c:pt>
                <c:pt idx="81">
                  <c:v>205</c:v>
                </c:pt>
                <c:pt idx="82">
                  <c:v>208</c:v>
                </c:pt>
                <c:pt idx="83">
                  <c:v>210</c:v>
                </c:pt>
                <c:pt idx="84">
                  <c:v>212</c:v>
                </c:pt>
                <c:pt idx="85">
                  <c:v>215</c:v>
                </c:pt>
                <c:pt idx="86">
                  <c:v>218</c:v>
                </c:pt>
                <c:pt idx="87">
                  <c:v>220</c:v>
                </c:pt>
                <c:pt idx="88">
                  <c:v>222</c:v>
                </c:pt>
                <c:pt idx="89">
                  <c:v>225</c:v>
                </c:pt>
                <c:pt idx="90">
                  <c:v>228</c:v>
                </c:pt>
                <c:pt idx="91">
                  <c:v>230</c:v>
                </c:pt>
                <c:pt idx="92">
                  <c:v>232</c:v>
                </c:pt>
                <c:pt idx="93">
                  <c:v>235</c:v>
                </c:pt>
                <c:pt idx="94">
                  <c:v>238</c:v>
                </c:pt>
                <c:pt idx="95">
                  <c:v>240</c:v>
                </c:pt>
                <c:pt idx="96">
                  <c:v>242</c:v>
                </c:pt>
                <c:pt idx="97">
                  <c:v>245</c:v>
                </c:pt>
                <c:pt idx="98">
                  <c:v>248</c:v>
                </c:pt>
                <c:pt idx="9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C6-4CF1-B1EA-1BD836B39258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Net profit (million)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Sheet1!$D$3:$D$102</c:f>
              <c:numCache>
                <c:formatCode>_-[$$-409]* #\ ##0.00_ ;_-[$$-409]* \-#\ ##0.00\ ;_-[$$-409]* "-"??_ ;_-@_ </c:formatCode>
                <c:ptCount val="10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4.5</c:v>
                </c:pt>
                <c:pt idx="5">
                  <c:v>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10</c:v>
                </c:pt>
                <c:pt idx="10">
                  <c:v>9.5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12.5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C6-4CF1-B1EA-1BD836B39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8789327"/>
        <c:axId val="628783567"/>
      </c:lineChart>
      <c:catAx>
        <c:axId val="628789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83567"/>
        <c:crosses val="autoZero"/>
        <c:auto val="1"/>
        <c:lblAlgn val="ctr"/>
        <c:lblOffset val="100"/>
        <c:noMultiLvlLbl val="0"/>
      </c:catAx>
      <c:valAx>
        <c:axId val="62878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8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1238250</xdr:colOff>
      <xdr:row>6</xdr:row>
      <xdr:rowOff>106680</xdr:rowOff>
    </xdr:from>
    <xdr:to>
      <xdr:col>6</xdr:col>
      <xdr:colOff>36195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B3566D-3DAC-0FDD-895B-08F30A212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1238250</xdr:colOff>
      <xdr:row>6</xdr:row>
      <xdr:rowOff>106680</xdr:rowOff>
    </xdr:from>
    <xdr:to>
      <xdr:col>6</xdr:col>
      <xdr:colOff>36195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52A547-D051-3E95-0635-AC8CAD4E6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1238250</xdr:colOff>
      <xdr:row>6</xdr:row>
      <xdr:rowOff>102870</xdr:rowOff>
    </xdr:from>
    <xdr:to>
      <xdr:col>6</xdr:col>
      <xdr:colOff>36195</xdr:colOff>
      <xdr:row>25</xdr:row>
      <xdr:rowOff>5715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F3AABC-F379-DF21-9259-0DA60D0A4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1238250</xdr:colOff>
      <xdr:row>6</xdr:row>
      <xdr:rowOff>102870</xdr:rowOff>
    </xdr:from>
    <xdr:to>
      <xdr:col>6</xdr:col>
      <xdr:colOff>36195</xdr:colOff>
      <xdr:row>25</xdr:row>
      <xdr:rowOff>5715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7CF45F-D181-DE67-0216-A5B53CC18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1238250</xdr:colOff>
      <xdr:row>6</xdr:row>
      <xdr:rowOff>102870</xdr:rowOff>
    </xdr:from>
    <xdr:to>
      <xdr:col>6</xdr:col>
      <xdr:colOff>36195</xdr:colOff>
      <xdr:row>25</xdr:row>
      <xdr:rowOff>5715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59EBF7-28AA-8499-B1AD-65B2EE9CC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1238250</xdr:colOff>
      <xdr:row>6</xdr:row>
      <xdr:rowOff>102870</xdr:rowOff>
    </xdr:from>
    <xdr:to>
      <xdr:col>6</xdr:col>
      <xdr:colOff>36195</xdr:colOff>
      <xdr:row>25</xdr:row>
      <xdr:rowOff>5715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1F6BF6-354F-E431-FA65-F3C92133C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1238250</xdr:colOff>
      <xdr:row>6</xdr:row>
      <xdr:rowOff>106680</xdr:rowOff>
    </xdr:from>
    <xdr:to>
      <xdr:col>6</xdr:col>
      <xdr:colOff>36195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0AC8EC-BF7C-4063-508A-80C37B2A5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487680</xdr:colOff>
          <xdr:row>2</xdr:row>
          <xdr:rowOff>15240</xdr:rowOff>
        </xdr:from>
        <xdr:to>
          <xdr:col>9</xdr:col>
          <xdr:colOff>106680</xdr:colOff>
          <xdr:row>5</xdr:row>
          <xdr:rowOff>190500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7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617220</xdr:colOff>
          <xdr:row>6</xdr:row>
          <xdr:rowOff>182880</xdr:rowOff>
        </xdr:from>
        <xdr:to>
          <xdr:col>9</xdr:col>
          <xdr:colOff>121920</xdr:colOff>
          <xdr:row>11</xdr:row>
          <xdr:rowOff>83820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7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2</a:t>
              </a:r>
            </a:p>
          </xdr:txBody>
        </xdr:sp>
        <xdr:clientData fPrintsWithSheet="0"/>
      </xdr:twoCellAnchor>
    </mc:Choice>
    <mc:Fallback/>
  </mc:AlternateContent>
  <xdr:twoCellAnchor>
    <xdr:from>
      <xdr:col>10</xdr:col>
      <xdr:colOff>156210</xdr:colOff>
      <xdr:row>4</xdr:row>
      <xdr:rowOff>41910</xdr:rowOff>
    </xdr:from>
    <xdr:to>
      <xdr:col>14</xdr:col>
      <xdr:colOff>232410</xdr:colOff>
      <xdr:row>18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332DD2-3BC9-24EA-6879-D8FDB93DE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495300</xdr:colOff>
          <xdr:row>12</xdr:row>
          <xdr:rowOff>190500</xdr:rowOff>
        </xdr:from>
        <xdr:to>
          <xdr:col>9</xdr:col>
          <xdr:colOff>190500</xdr:colOff>
          <xdr:row>16</xdr:row>
          <xdr:rowOff>182880</xdr:rowOff>
        </xdr:to>
        <xdr:sp macro="" textlink="">
          <xdr:nvSpPr>
            <xdr:cNvPr id="4099" name="Butto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7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571500</xdr:colOff>
          <xdr:row>18</xdr:row>
          <xdr:rowOff>91440</xdr:rowOff>
        </xdr:from>
        <xdr:to>
          <xdr:col>9</xdr:col>
          <xdr:colOff>22860</xdr:colOff>
          <xdr:row>21</xdr:row>
          <xdr:rowOff>144780</xdr:rowOff>
        </xdr:to>
        <xdr:sp macro="" textlink="">
          <xdr:nvSpPr>
            <xdr:cNvPr id="4100" name="Button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7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4</a:t>
              </a:r>
            </a:p>
          </xdr:txBody>
        </xdr:sp>
        <xdr:clientData fPrintsWithSheet="0"/>
      </xdr:twoCellAnchor>
    </mc:Choice>
    <mc:Fallback/>
  </mc:AlternateContent>
  <xdr:twoCellAnchor>
    <xdr:from>
      <xdr:col>10</xdr:col>
      <xdr:colOff>857250</xdr:colOff>
      <xdr:row>13</xdr:row>
      <xdr:rowOff>57150</xdr:rowOff>
    </xdr:from>
    <xdr:to>
      <xdr:col>15</xdr:col>
      <xdr:colOff>262890</xdr:colOff>
      <xdr:row>27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2DBDE3-1F5E-EF93-64E6-A3C330885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inur\AppData\Roaming\Microsoft\Excel\XLSTART\PERSONAL.XLSB" TargetMode="External"/><Relationship Id="rId1" Type="http://schemas.microsoft.com/office/2006/relationships/xlExternalLinkPath/xlStartup" Target="PERSONA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Macro2"/>
      <definedName name="Macro3"/>
      <definedName name="Macro4"/>
      <definedName name="Macro5"/>
    </defined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C0BC90-973C-4A28-A602-C303E219C66A}" name="Table5" displayName="Table5" ref="A1:E6" totalsRowShown="0">
  <autoFilter ref="A1:E6" xr:uid="{EDC0BC90-973C-4A28-A602-C303E219C66A}"/>
  <tableColumns count="5">
    <tableColumn id="1" xr3:uid="{9A401592-A74C-433F-9CAF-1E617692D137}" name="Quarter"/>
    <tableColumn id="2" xr3:uid="{912D130A-06A6-4667-A5E6-51ADA10AADF4}" name="Net profit (million)" dataDxfId="6"/>
    <tableColumn id="3" xr3:uid="{357ACE1B-9541-44BF-BF72-1684949F7609}" name="Forecast(Net profit (million))"/>
    <tableColumn id="4" xr3:uid="{41234735-59D2-4A92-81C1-D78DFCDE7EEF}" name="Lower Confidence Bound(Net profit (million))"/>
    <tableColumn id="5" xr3:uid="{71D56564-256C-45C7-BCF2-736ABFA3D53C}" name="Upper Confidence Bound(Net profit (million)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E7FABA-8C41-431A-A7E1-844F1F502011}" name="Table6" displayName="Table6" ref="A1:E6" totalsRowShown="0">
  <autoFilter ref="A1:E6" xr:uid="{C1E7FABA-8C41-431A-A7E1-844F1F502011}"/>
  <tableColumns count="5">
    <tableColumn id="1" xr3:uid="{A666A351-ED85-462A-9017-7B350E7D8865}" name="Quarter"/>
    <tableColumn id="2" xr3:uid="{C8D96F5C-6F1A-4C1F-B49C-CF2A013F6AAC}" name="Net profit (million)" dataDxfId="5"/>
    <tableColumn id="3" xr3:uid="{D095498D-57F3-4E9A-B4D4-AEF0AF494424}" name="Forecast(Net profit (million))"/>
    <tableColumn id="4" xr3:uid="{876159E1-C0A4-490A-AA6E-A7B96CE4D2BD}" name="Lower Confidence Bound(Net profit (million))"/>
    <tableColumn id="5" xr3:uid="{F6EB984B-0CD5-47E9-B729-7BA795C5D7ED}" name="Upper Confidence Bound(Net profit (million)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55F811-D8F1-4DEA-972C-503395149901}" name="Table1" displayName="Table1" ref="A1:E6" totalsRowShown="0">
  <autoFilter ref="A1:E6" xr:uid="{A755F811-D8F1-4DEA-972C-503395149901}"/>
  <tableColumns count="5">
    <tableColumn id="1" xr3:uid="{959120A1-43E1-421E-A369-73F707934AE3}" name="Quarter"/>
    <tableColumn id="2" xr3:uid="{A5DB614E-EB35-4ED6-A03C-45300305D2A7}" name="Net profit (million)" dataDxfId="4"/>
    <tableColumn id="3" xr3:uid="{107DC7EB-6540-466F-86B8-8FC8DD4CD33F}" name="Forecast(Net profit (million))"/>
    <tableColumn id="4" xr3:uid="{0A33982B-BCCC-413B-B939-253896892F76}" name="Lower Confidence Bound(Net profit (million))"/>
    <tableColumn id="5" xr3:uid="{D834BDA9-BEA4-409E-9CFE-2BB71BC7DEBC}" name="Upper Confidence Bound(Net profit (million)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07FF6C-7865-4E5E-8EC5-4D8AD7A170F0}" name="Table2" displayName="Table2" ref="A1:E6" totalsRowShown="0">
  <autoFilter ref="A1:E6" xr:uid="{9007FF6C-7865-4E5E-8EC5-4D8AD7A170F0}"/>
  <tableColumns count="5">
    <tableColumn id="1" xr3:uid="{574F4011-89BD-4C1E-9926-F8D716EBB6BB}" name="Quarter"/>
    <tableColumn id="2" xr3:uid="{DDB66377-702C-4A25-B961-C3EACF2796F7}" name="Net profit (million)" dataDxfId="3"/>
    <tableColumn id="3" xr3:uid="{F97AAB13-CED2-4C48-A56C-93A7C8D9B123}" name="Forecast(Net profit (million))"/>
    <tableColumn id="4" xr3:uid="{EF872F32-1C60-44E3-B9BD-B73CBDAB46CC}" name="Lower Confidence Bound(Net profit (million))"/>
    <tableColumn id="5" xr3:uid="{39998783-294F-4071-8234-163A81079FAA}" name="Upper Confidence Bound(Net profit (million)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A80F3B-3E44-49A8-8F6C-E0B59B974EB4}" name="Table3" displayName="Table3" ref="A1:E6" totalsRowShown="0">
  <autoFilter ref="A1:E6" xr:uid="{41A80F3B-3E44-49A8-8F6C-E0B59B974EB4}"/>
  <tableColumns count="5">
    <tableColumn id="1" xr3:uid="{207911FB-6A65-4304-8A75-538D20E16023}" name="Quarter"/>
    <tableColumn id="2" xr3:uid="{7CB276B1-A356-4538-9504-71A0804D264A}" name="Net profit (million)" dataDxfId="2"/>
    <tableColumn id="3" xr3:uid="{F871CCC2-D09B-455E-B175-29B276DF604A}" name="Forecast(Net profit (million))"/>
    <tableColumn id="4" xr3:uid="{B4DE3C91-145C-4314-B6FD-BB0E7ADCE059}" name="Lower Confidence Bound(Net profit (million))"/>
    <tableColumn id="5" xr3:uid="{00EB073A-6CD2-486E-86EC-2FFC828418F5}" name="Upper Confidence Bound(Net profit (million)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8A29F5-B2C0-4C48-A246-2C101388AB77}" name="Table4" displayName="Table4" ref="A1:E6" totalsRowShown="0">
  <autoFilter ref="A1:E6" xr:uid="{448A29F5-B2C0-4C48-A246-2C101388AB77}"/>
  <tableColumns count="5">
    <tableColumn id="1" xr3:uid="{7D00D1F3-C6A5-44DA-BD11-0375464774AD}" name="Quarter"/>
    <tableColumn id="2" xr3:uid="{6655B090-AF53-4C22-A438-EC7E7BB3D073}" name="Net profit (million)" dataDxfId="1"/>
    <tableColumn id="3" xr3:uid="{CDB51761-64D0-42B1-9E99-AE6F69253E8A}" name="Forecast(Net profit (million))"/>
    <tableColumn id="4" xr3:uid="{58B95596-09F1-42DB-A1FF-2C62338E7755}" name="Lower Confidence Bound(Net profit (million))"/>
    <tableColumn id="5" xr3:uid="{FCF63254-F327-42E1-8069-8E81AB0BD2C8}" name="Upper Confidence Bound(Net profit (million)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4EF2CA-618C-449F-BEB8-7B00003191E4}" name="Table7" displayName="Table7" ref="A1:E6" totalsRowShown="0">
  <autoFilter ref="A1:E6" xr:uid="{C24EF2CA-618C-449F-BEB8-7B00003191E4}"/>
  <tableColumns count="5">
    <tableColumn id="1" xr3:uid="{2AB6AF2B-09C7-4F2B-957A-538C0FD0FE2E}" name="Quarter"/>
    <tableColumn id="2" xr3:uid="{927A0BF5-386A-49D8-80BF-540FAA943DC0}" name="Net profit (million)" dataDxfId="0"/>
    <tableColumn id="3" xr3:uid="{64E1C859-7DF9-451F-948C-D2405DC43939}" name="Forecast(Net profit (million))"/>
    <tableColumn id="4" xr3:uid="{5673EAAB-E4B5-45D2-8C37-3BC768DB4FDD}" name="Lower Confidence Bound(Net profit (million))"/>
    <tableColumn id="5" xr3:uid="{DD53AEFE-4848-4B2E-B8F6-D24B25892229}" name="Upper Confidence Bound(Net profit (million)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8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0FD0B-7F25-4534-A34C-043C8CD26242}">
  <sheetPr codeName="Sheet1"/>
  <dimension ref="A1:E6"/>
  <sheetViews>
    <sheetView workbookViewId="0"/>
  </sheetViews>
  <sheetFormatPr defaultRowHeight="15.6" x14ac:dyDescent="0.3"/>
  <cols>
    <col min="1" max="1" width="9.19921875" customWidth="1"/>
    <col min="2" max="2" width="18.296875" customWidth="1"/>
    <col min="3" max="3" width="26.5" customWidth="1"/>
    <col min="4" max="4" width="40.5" customWidth="1"/>
    <col min="5" max="5" width="40.59765625" customWidth="1"/>
  </cols>
  <sheetData>
    <row r="1" spans="1:5" x14ac:dyDescent="0.3">
      <c r="A1" t="s">
        <v>0</v>
      </c>
      <c r="B1" t="s">
        <v>2</v>
      </c>
      <c r="C1" t="s">
        <v>5</v>
      </c>
      <c r="D1" t="s">
        <v>6</v>
      </c>
      <c r="E1" t="s">
        <v>7</v>
      </c>
    </row>
    <row r="2" spans="1:5" x14ac:dyDescent="0.3">
      <c r="A2">
        <v>1</v>
      </c>
      <c r="B2" s="3">
        <v>48.5</v>
      </c>
    </row>
    <row r="3" spans="1:5" x14ac:dyDescent="0.3">
      <c r="A3">
        <v>2</v>
      </c>
      <c r="B3" s="3">
        <v>47.38</v>
      </c>
    </row>
    <row r="4" spans="1:5" x14ac:dyDescent="0.3">
      <c r="A4">
        <v>3</v>
      </c>
      <c r="B4" s="3">
        <v>48.1875</v>
      </c>
    </row>
    <row r="5" spans="1:5" x14ac:dyDescent="0.3">
      <c r="A5">
        <v>4</v>
      </c>
      <c r="B5" s="3">
        <v>51.145833333333336</v>
      </c>
      <c r="C5" s="3">
        <v>51.145833333333336</v>
      </c>
      <c r="D5" s="3">
        <v>51.145833333333336</v>
      </c>
      <c r="E5" s="3">
        <v>51.145833333333336</v>
      </c>
    </row>
    <row r="6" spans="1:5" x14ac:dyDescent="0.3">
      <c r="A6">
        <v>5</v>
      </c>
      <c r="C6" s="3">
        <f>_xlfn.FORECAST.ETS(A6,$B$2:$B$5,$A$2:$A$5,1,1)</f>
        <v>51.530901180692297</v>
      </c>
      <c r="D6" s="3">
        <f>C6-_xlfn.FORECAST.ETS.CONFINT(A6,$B$2:$B$5,$A$2:$A$5,0.95,1,1)</f>
        <v>48.813387409083504</v>
      </c>
      <c r="E6" s="3">
        <f>C6+_xlfn.FORECAST.ETS.CONFINT(A6,$B$2:$B$5,$A$2:$A$5,0.95,1,1)</f>
        <v>54.24841495230109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4A91-808B-4F42-B983-CA3F632291BD}">
  <sheetPr codeName="Sheet2"/>
  <dimension ref="A1:E6"/>
  <sheetViews>
    <sheetView workbookViewId="0">
      <selection activeCell="G2" sqref="G2"/>
    </sheetView>
  </sheetViews>
  <sheetFormatPr defaultRowHeight="15.6" x14ac:dyDescent="0.3"/>
  <cols>
    <col min="1" max="1" width="9.19921875" customWidth="1"/>
    <col min="2" max="2" width="18.296875" customWidth="1"/>
    <col min="3" max="3" width="26.5" customWidth="1"/>
    <col min="4" max="4" width="40.5" customWidth="1"/>
    <col min="5" max="5" width="40.59765625" customWidth="1"/>
    <col min="7" max="7" width="110.59765625" customWidth="1"/>
  </cols>
  <sheetData>
    <row r="1" spans="1:5" x14ac:dyDescent="0.3">
      <c r="A1" t="s">
        <v>0</v>
      </c>
      <c r="B1" t="s">
        <v>2</v>
      </c>
      <c r="C1" t="s">
        <v>5</v>
      </c>
      <c r="D1" t="s">
        <v>6</v>
      </c>
      <c r="E1" t="s">
        <v>7</v>
      </c>
    </row>
    <row r="2" spans="1:5" x14ac:dyDescent="0.3">
      <c r="A2">
        <v>1</v>
      </c>
      <c r="B2" s="3">
        <v>48.5</v>
      </c>
    </row>
    <row r="3" spans="1:5" x14ac:dyDescent="0.3">
      <c r="A3">
        <v>2</v>
      </c>
      <c r="B3" s="3">
        <v>47.38</v>
      </c>
    </row>
    <row r="4" spans="1:5" x14ac:dyDescent="0.3">
      <c r="A4">
        <v>3</v>
      </c>
      <c r="B4" s="3">
        <v>48.1875</v>
      </c>
    </row>
    <row r="5" spans="1:5" x14ac:dyDescent="0.3">
      <c r="A5">
        <v>4</v>
      </c>
      <c r="B5" s="3">
        <v>51.145833333333336</v>
      </c>
      <c r="C5" s="3">
        <v>51.145833333333336</v>
      </c>
      <c r="D5" s="3">
        <v>51.145833333333336</v>
      </c>
      <c r="E5" s="3">
        <v>51.145833333333336</v>
      </c>
    </row>
    <row r="6" spans="1:5" x14ac:dyDescent="0.3">
      <c r="A6">
        <v>5</v>
      </c>
      <c r="C6" s="3">
        <f>_xlfn.FORECAST.ETS(A6,$B$2:$B$5,$A$2:$A$5,1,1)</f>
        <v>51.530901180692297</v>
      </c>
      <c r="D6" s="3">
        <f>C6-_xlfn.FORECAST.ETS.CONFINT(A6,$B$2:$B$5,$A$2:$A$5,0.95,1,1)</f>
        <v>48.813387409083504</v>
      </c>
      <c r="E6" s="3">
        <f>C6+_xlfn.FORECAST.ETS.CONFINT(A6,$B$2:$B$5,$A$2:$A$5,0.95,1,1)</f>
        <v>54.24841495230109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CE59A-96CD-4ACE-BBA1-F9A970DD798C}">
  <sheetPr codeName="Sheet4"/>
  <dimension ref="A1:E6"/>
  <sheetViews>
    <sheetView workbookViewId="0"/>
  </sheetViews>
  <sheetFormatPr defaultRowHeight="15.6" x14ac:dyDescent="0.3"/>
  <cols>
    <col min="1" max="1" width="9.19921875" customWidth="1"/>
    <col min="2" max="2" width="18.296875" customWidth="1"/>
    <col min="3" max="3" width="26.5" customWidth="1"/>
    <col min="4" max="4" width="40.5" customWidth="1"/>
    <col min="5" max="5" width="40.59765625" customWidth="1"/>
  </cols>
  <sheetData>
    <row r="1" spans="1:5" x14ac:dyDescent="0.3">
      <c r="A1" t="s">
        <v>0</v>
      </c>
      <c r="B1" t="s">
        <v>2</v>
      </c>
      <c r="C1" t="s">
        <v>5</v>
      </c>
      <c r="D1" t="s">
        <v>6</v>
      </c>
      <c r="E1" t="s">
        <v>7</v>
      </c>
    </row>
    <row r="2" spans="1:5" x14ac:dyDescent="0.3">
      <c r="A2">
        <v>1</v>
      </c>
      <c r="B2" s="3">
        <v>48.5</v>
      </c>
    </row>
    <row r="3" spans="1:5" x14ac:dyDescent="0.3">
      <c r="A3">
        <v>2</v>
      </c>
      <c r="B3" s="3">
        <v>47.38</v>
      </c>
    </row>
    <row r="4" spans="1:5" x14ac:dyDescent="0.3">
      <c r="A4">
        <v>3</v>
      </c>
      <c r="B4" s="3">
        <v>48.1875</v>
      </c>
    </row>
    <row r="5" spans="1:5" x14ac:dyDescent="0.3">
      <c r="A5">
        <v>4</v>
      </c>
      <c r="B5" s="3">
        <v>51.145833333333336</v>
      </c>
      <c r="C5" s="3">
        <v>51.145833333333336</v>
      </c>
      <c r="D5" s="3">
        <v>51.145833333333336</v>
      </c>
      <c r="E5" s="3">
        <v>51.145833333333336</v>
      </c>
    </row>
    <row r="6" spans="1:5" x14ac:dyDescent="0.3">
      <c r="A6">
        <v>5</v>
      </c>
      <c r="C6" s="3">
        <f>_xlfn.FORECAST.ETS(A6,$B$2:$B$5,$A$2:$A$5,1,1)</f>
        <v>51.530901180692297</v>
      </c>
      <c r="D6" s="3">
        <f>C6-_xlfn.FORECAST.ETS.CONFINT(A6,$B$2:$B$5,$A$2:$A$5,0.95,1,1)</f>
        <v>48.813387409083504</v>
      </c>
      <c r="E6" s="3">
        <f>C6+_xlfn.FORECAST.ETS.CONFINT(A6,$B$2:$B$5,$A$2:$A$5,0.95,1,1)</f>
        <v>54.24841495230109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F80DE-84D0-473F-BFAD-E86D8D722588}">
  <sheetPr codeName="Sheet5"/>
  <dimension ref="A1:E6"/>
  <sheetViews>
    <sheetView workbookViewId="0"/>
  </sheetViews>
  <sheetFormatPr defaultRowHeight="15.6" x14ac:dyDescent="0.3"/>
  <cols>
    <col min="1" max="1" width="9.19921875" customWidth="1"/>
    <col min="2" max="2" width="18.296875" customWidth="1"/>
    <col min="3" max="3" width="26.5" customWidth="1"/>
    <col min="4" max="4" width="40.5" customWidth="1"/>
    <col min="5" max="5" width="40.59765625" customWidth="1"/>
  </cols>
  <sheetData>
    <row r="1" spans="1:5" x14ac:dyDescent="0.3">
      <c r="A1" t="s">
        <v>0</v>
      </c>
      <c r="B1" t="s">
        <v>2</v>
      </c>
      <c r="C1" t="s">
        <v>5</v>
      </c>
      <c r="D1" t="s">
        <v>6</v>
      </c>
      <c r="E1" t="s">
        <v>7</v>
      </c>
    </row>
    <row r="2" spans="1:5" x14ac:dyDescent="0.3">
      <c r="A2">
        <v>1</v>
      </c>
      <c r="B2" s="3">
        <v>48.5</v>
      </c>
    </row>
    <row r="3" spans="1:5" x14ac:dyDescent="0.3">
      <c r="A3">
        <v>2</v>
      </c>
      <c r="B3" s="3">
        <v>47.38</v>
      </c>
    </row>
    <row r="4" spans="1:5" x14ac:dyDescent="0.3">
      <c r="A4">
        <v>3</v>
      </c>
      <c r="B4" s="3">
        <v>48.1875</v>
      </c>
    </row>
    <row r="5" spans="1:5" x14ac:dyDescent="0.3">
      <c r="A5">
        <v>4</v>
      </c>
      <c r="B5" s="3">
        <v>51.145833333333336</v>
      </c>
      <c r="C5" s="3">
        <v>51.145833333333336</v>
      </c>
      <c r="D5" s="3">
        <v>51.145833333333336</v>
      </c>
      <c r="E5" s="3">
        <v>51.145833333333336</v>
      </c>
    </row>
    <row r="6" spans="1:5" x14ac:dyDescent="0.3">
      <c r="A6">
        <v>5</v>
      </c>
      <c r="C6" s="3">
        <f>_xlfn.FORECAST.ETS(A6,$B$2:$B$5,$A$2:$A$5,1,1)</f>
        <v>51.530901180692297</v>
      </c>
      <c r="D6" s="3">
        <f>C6-_xlfn.FORECAST.ETS.CONFINT(A6,$B$2:$B$5,$A$2:$A$5,0.95,1,1)</f>
        <v>48.813387409083504</v>
      </c>
      <c r="E6" s="3">
        <f>C6+_xlfn.FORECAST.ETS.CONFINT(A6,$B$2:$B$5,$A$2:$A$5,0.95,1,1)</f>
        <v>54.24841495230109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3F86-B9A3-4794-80EC-72B8BEDE68F3}">
  <sheetPr codeName="Sheet6"/>
  <dimension ref="A1:E6"/>
  <sheetViews>
    <sheetView workbookViewId="0"/>
  </sheetViews>
  <sheetFormatPr defaultRowHeight="15.6" x14ac:dyDescent="0.3"/>
  <cols>
    <col min="1" max="1" width="9.19921875" customWidth="1"/>
    <col min="2" max="2" width="18.296875" customWidth="1"/>
    <col min="3" max="3" width="26.5" customWidth="1"/>
    <col min="4" max="4" width="40.5" customWidth="1"/>
    <col min="5" max="5" width="40.59765625" customWidth="1"/>
  </cols>
  <sheetData>
    <row r="1" spans="1:5" x14ac:dyDescent="0.3">
      <c r="A1" t="s">
        <v>0</v>
      </c>
      <c r="B1" t="s">
        <v>2</v>
      </c>
      <c r="C1" t="s">
        <v>5</v>
      </c>
      <c r="D1" t="s">
        <v>6</v>
      </c>
      <c r="E1" t="s">
        <v>7</v>
      </c>
    </row>
    <row r="2" spans="1:5" x14ac:dyDescent="0.3">
      <c r="A2">
        <v>1</v>
      </c>
      <c r="B2" s="3">
        <v>48.5</v>
      </c>
    </row>
    <row r="3" spans="1:5" x14ac:dyDescent="0.3">
      <c r="A3">
        <v>2</v>
      </c>
      <c r="B3" s="3">
        <v>47.38</v>
      </c>
    </row>
    <row r="4" spans="1:5" x14ac:dyDescent="0.3">
      <c r="A4">
        <v>3</v>
      </c>
      <c r="B4" s="3">
        <v>48.1875</v>
      </c>
    </row>
    <row r="5" spans="1:5" x14ac:dyDescent="0.3">
      <c r="A5">
        <v>4</v>
      </c>
      <c r="B5" s="3">
        <v>51.145833333333336</v>
      </c>
      <c r="C5" s="3">
        <v>51.145833333333336</v>
      </c>
      <c r="D5" s="3">
        <v>51.145833333333336</v>
      </c>
      <c r="E5" s="3">
        <v>51.145833333333336</v>
      </c>
    </row>
    <row r="6" spans="1:5" x14ac:dyDescent="0.3">
      <c r="A6">
        <v>5</v>
      </c>
      <c r="C6" s="3">
        <f>_xlfn.FORECAST.ETS(A6,$B$2:$B$5,$A$2:$A$5,1,1)</f>
        <v>51.530901180692297</v>
      </c>
      <c r="D6" s="3">
        <f>C6-_xlfn.FORECAST.ETS.CONFINT(A6,$B$2:$B$5,$A$2:$A$5,0.95,1,1)</f>
        <v>48.813387409083504</v>
      </c>
      <c r="E6" s="3">
        <f>C6+_xlfn.FORECAST.ETS.CONFINT(A6,$B$2:$B$5,$A$2:$A$5,0.95,1,1)</f>
        <v>54.24841495230109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6333-40D5-49EE-8F6A-599860A3079C}">
  <sheetPr codeName="Sheet7"/>
  <dimension ref="A1:E6"/>
  <sheetViews>
    <sheetView workbookViewId="0"/>
  </sheetViews>
  <sheetFormatPr defaultRowHeight="15.6" x14ac:dyDescent="0.3"/>
  <cols>
    <col min="1" max="1" width="9.19921875" customWidth="1"/>
    <col min="2" max="2" width="18.296875" customWidth="1"/>
    <col min="3" max="3" width="26.5" customWidth="1"/>
    <col min="4" max="4" width="40.5" customWidth="1"/>
    <col min="5" max="5" width="40.59765625" customWidth="1"/>
  </cols>
  <sheetData>
    <row r="1" spans="1:5" x14ac:dyDescent="0.3">
      <c r="A1" t="s">
        <v>0</v>
      </c>
      <c r="B1" t="s">
        <v>2</v>
      </c>
      <c r="C1" t="s">
        <v>5</v>
      </c>
      <c r="D1" t="s">
        <v>6</v>
      </c>
      <c r="E1" t="s">
        <v>7</v>
      </c>
    </row>
    <row r="2" spans="1:5" x14ac:dyDescent="0.3">
      <c r="A2">
        <v>1</v>
      </c>
      <c r="B2" s="3">
        <v>48.5</v>
      </c>
    </row>
    <row r="3" spans="1:5" x14ac:dyDescent="0.3">
      <c r="A3">
        <v>2</v>
      </c>
      <c r="B3" s="3">
        <v>47.38</v>
      </c>
    </row>
    <row r="4" spans="1:5" x14ac:dyDescent="0.3">
      <c r="A4">
        <v>3</v>
      </c>
      <c r="B4" s="3">
        <v>48.1875</v>
      </c>
    </row>
    <row r="5" spans="1:5" x14ac:dyDescent="0.3">
      <c r="A5">
        <v>4</v>
      </c>
      <c r="B5" s="3">
        <v>51.145833333333336</v>
      </c>
      <c r="C5" s="3">
        <v>51.145833333333336</v>
      </c>
      <c r="D5" s="3">
        <v>51.145833333333336</v>
      </c>
      <c r="E5" s="3">
        <v>51.145833333333336</v>
      </c>
    </row>
    <row r="6" spans="1:5" x14ac:dyDescent="0.3">
      <c r="A6">
        <v>5</v>
      </c>
      <c r="C6" s="3">
        <f>_xlfn.FORECAST.ETS(A6,$B$2:$B$5,$A$2:$A$5,1,1)</f>
        <v>51.530901180692297</v>
      </c>
      <c r="D6" s="3">
        <f>C6-_xlfn.FORECAST.ETS.CONFINT(A6,$B$2:$B$5,$A$2:$A$5,0.95,1,1)</f>
        <v>48.813387409083504</v>
      </c>
      <c r="E6" s="3">
        <f>C6+_xlfn.FORECAST.ETS.CONFINT(A6,$B$2:$B$5,$A$2:$A$5,0.95,1,1)</f>
        <v>54.24841495230109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9EE5B-4EBF-4018-8D7E-5D7A32F65CBF}">
  <dimension ref="A1:E6"/>
  <sheetViews>
    <sheetView workbookViewId="0"/>
  </sheetViews>
  <sheetFormatPr defaultRowHeight="15.6" x14ac:dyDescent="0.3"/>
  <cols>
    <col min="1" max="1" width="9.19921875" customWidth="1"/>
    <col min="2" max="2" width="18.296875" customWidth="1"/>
    <col min="3" max="3" width="26.5" customWidth="1"/>
    <col min="4" max="4" width="40.5" customWidth="1"/>
    <col min="5" max="5" width="40.59765625" customWidth="1"/>
  </cols>
  <sheetData>
    <row r="1" spans="1:5" x14ac:dyDescent="0.3">
      <c r="A1" t="s">
        <v>0</v>
      </c>
      <c r="B1" t="s">
        <v>2</v>
      </c>
      <c r="C1" t="s">
        <v>5</v>
      </c>
      <c r="D1" t="s">
        <v>6</v>
      </c>
      <c r="E1" t="s">
        <v>7</v>
      </c>
    </row>
    <row r="2" spans="1:5" x14ac:dyDescent="0.3">
      <c r="A2">
        <v>1</v>
      </c>
      <c r="B2" s="3">
        <v>48.5</v>
      </c>
    </row>
    <row r="3" spans="1:5" x14ac:dyDescent="0.3">
      <c r="A3">
        <v>2</v>
      </c>
      <c r="B3" s="3">
        <v>47.38</v>
      </c>
    </row>
    <row r="4" spans="1:5" x14ac:dyDescent="0.3">
      <c r="A4">
        <v>3</v>
      </c>
      <c r="B4" s="3">
        <v>48.1875</v>
      </c>
    </row>
    <row r="5" spans="1:5" x14ac:dyDescent="0.3">
      <c r="A5">
        <v>4</v>
      </c>
      <c r="B5" s="3">
        <v>51.145833333333336</v>
      </c>
      <c r="C5" s="3">
        <v>51.145833333333336</v>
      </c>
      <c r="D5" s="3">
        <v>51.145833333333336</v>
      </c>
      <c r="E5" s="3">
        <v>51.145833333333336</v>
      </c>
    </row>
    <row r="6" spans="1:5" x14ac:dyDescent="0.3">
      <c r="A6">
        <v>5</v>
      </c>
      <c r="C6" s="3">
        <f>_xlfn.FORECAST.ETS(A6,$B$2:$B$5,$A$2:$A$5,1,1)</f>
        <v>51.530901180692297</v>
      </c>
      <c r="D6" s="3">
        <f>C6-_xlfn.FORECAST.ETS.CONFINT(A6,$B$2:$B$5,$A$2:$A$5,0.95,1,1)</f>
        <v>48.813387409083504</v>
      </c>
      <c r="E6" s="3">
        <f>C6+_xlfn.FORECAST.ETS.CONFINT(A6,$B$2:$B$5,$A$2:$A$5,0.95,1,1)</f>
        <v>54.24841495230109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B67C-9864-4EC0-B162-A8F9BBA52F38}">
  <sheetPr codeName="Sheet3"/>
  <dimension ref="A2:M102"/>
  <sheetViews>
    <sheetView tabSelected="1" workbookViewId="0">
      <selection activeCell="D9" sqref="D9:D15"/>
    </sheetView>
  </sheetViews>
  <sheetFormatPr defaultRowHeight="15.6" x14ac:dyDescent="0.3"/>
  <cols>
    <col min="3" max="3" width="20.09765625" customWidth="1"/>
    <col min="4" max="4" width="20.5" customWidth="1"/>
    <col min="5" max="5" width="21.3984375" customWidth="1"/>
    <col min="11" max="11" width="16.59765625" customWidth="1"/>
    <col min="12" max="12" width="17" customWidth="1"/>
    <col min="13" max="13" width="16.59765625" customWidth="1"/>
  </cols>
  <sheetData>
    <row r="2" spans="1:13" x14ac:dyDescent="0.3">
      <c r="A2" s="1" t="s">
        <v>4</v>
      </c>
      <c r="B2" s="1" t="s">
        <v>0</v>
      </c>
      <c r="C2" s="1" t="s">
        <v>1</v>
      </c>
      <c r="D2" s="1" t="s">
        <v>2</v>
      </c>
      <c r="E2" s="1" t="s">
        <v>3</v>
      </c>
      <c r="K2" s="1" t="s">
        <v>8</v>
      </c>
      <c r="L2" s="1" t="s">
        <v>8</v>
      </c>
      <c r="M2" s="1" t="s">
        <v>8</v>
      </c>
    </row>
    <row r="3" spans="1:13" x14ac:dyDescent="0.3">
      <c r="A3" s="1">
        <v>1</v>
      </c>
      <c r="B3" s="1">
        <f>INT((A3-1)/3-INT((A3-1)/12)*4+1)</f>
        <v>1</v>
      </c>
      <c r="C3" s="2">
        <v>10</v>
      </c>
      <c r="D3" s="2">
        <v>3</v>
      </c>
      <c r="E3" s="2">
        <v>7</v>
      </c>
      <c r="K3" s="2">
        <f>SUM(C2:C102)</f>
        <v>12676</v>
      </c>
      <c r="L3" s="2">
        <f>SUM(D2:D102)</f>
        <v>4878</v>
      </c>
      <c r="M3" s="2">
        <f>SUM(E2:E102)</f>
        <v>9057</v>
      </c>
    </row>
    <row r="4" spans="1:13" x14ac:dyDescent="0.3">
      <c r="A4" s="1">
        <v>2</v>
      </c>
      <c r="B4" s="1">
        <f t="shared" ref="B4:B67" si="0">INT((A4-1)/3-INT((A4-1)/12)*4+1)</f>
        <v>1</v>
      </c>
      <c r="C4" s="2">
        <v>12</v>
      </c>
      <c r="D4" s="2">
        <v>4</v>
      </c>
      <c r="E4" s="2">
        <v>8</v>
      </c>
    </row>
    <row r="5" spans="1:13" x14ac:dyDescent="0.3">
      <c r="A5" s="1">
        <v>3</v>
      </c>
      <c r="B5" s="1">
        <f t="shared" si="0"/>
        <v>1</v>
      </c>
      <c r="C5" s="2">
        <v>15</v>
      </c>
      <c r="D5" s="2">
        <v>5</v>
      </c>
      <c r="E5" s="2">
        <v>10</v>
      </c>
    </row>
    <row r="6" spans="1:13" x14ac:dyDescent="0.3">
      <c r="A6" s="1">
        <v>4</v>
      </c>
      <c r="B6" s="1">
        <f t="shared" si="0"/>
        <v>2</v>
      </c>
      <c r="C6" s="2">
        <v>18</v>
      </c>
      <c r="D6" s="2">
        <v>6</v>
      </c>
      <c r="E6" s="2">
        <v>12</v>
      </c>
    </row>
    <row r="7" spans="1:13" x14ac:dyDescent="0.3">
      <c r="A7" s="1">
        <v>5</v>
      </c>
      <c r="B7" s="1">
        <f t="shared" si="0"/>
        <v>2</v>
      </c>
      <c r="C7" s="2">
        <v>14</v>
      </c>
      <c r="D7" s="4">
        <v>4.5</v>
      </c>
      <c r="E7" s="2">
        <v>9</v>
      </c>
    </row>
    <row r="8" spans="1:13" x14ac:dyDescent="0.3">
      <c r="A8" s="1">
        <v>6</v>
      </c>
      <c r="B8" s="1">
        <f t="shared" si="0"/>
        <v>2</v>
      </c>
      <c r="C8" s="2">
        <v>16</v>
      </c>
      <c r="D8" s="4">
        <v>5</v>
      </c>
      <c r="E8" s="2">
        <v>10</v>
      </c>
    </row>
    <row r="9" spans="1:13" x14ac:dyDescent="0.3">
      <c r="A9" s="1">
        <v>7</v>
      </c>
      <c r="B9" s="1">
        <f t="shared" si="0"/>
        <v>3</v>
      </c>
      <c r="C9" s="2">
        <v>20</v>
      </c>
      <c r="D9" s="4">
        <v>7</v>
      </c>
      <c r="E9" s="2">
        <v>13</v>
      </c>
    </row>
    <row r="10" spans="1:13" x14ac:dyDescent="0.3">
      <c r="A10" s="1">
        <v>8</v>
      </c>
      <c r="B10" s="1">
        <f t="shared" si="0"/>
        <v>3</v>
      </c>
      <c r="C10" s="2">
        <v>22</v>
      </c>
      <c r="D10" s="4">
        <v>7.5</v>
      </c>
      <c r="E10" s="2">
        <v>14</v>
      </c>
    </row>
    <row r="11" spans="1:13" x14ac:dyDescent="0.3">
      <c r="A11" s="1">
        <v>9</v>
      </c>
      <c r="B11" s="1">
        <f t="shared" si="0"/>
        <v>3</v>
      </c>
      <c r="C11" s="2">
        <v>25</v>
      </c>
      <c r="D11" s="4">
        <v>8</v>
      </c>
      <c r="E11" s="2">
        <v>15</v>
      </c>
    </row>
    <row r="12" spans="1:13" x14ac:dyDescent="0.3">
      <c r="A12" s="1">
        <v>10</v>
      </c>
      <c r="B12" s="1">
        <f t="shared" si="0"/>
        <v>4</v>
      </c>
      <c r="C12" s="2">
        <v>30</v>
      </c>
      <c r="D12" s="4">
        <v>10</v>
      </c>
      <c r="E12" s="2">
        <v>20</v>
      </c>
    </row>
    <row r="13" spans="1:13" x14ac:dyDescent="0.3">
      <c r="A13" s="1">
        <v>11</v>
      </c>
      <c r="B13" s="1">
        <f t="shared" si="0"/>
        <v>4</v>
      </c>
      <c r="C13" s="2">
        <v>28</v>
      </c>
      <c r="D13" s="2">
        <v>9.5</v>
      </c>
      <c r="E13" s="2">
        <v>21</v>
      </c>
    </row>
    <row r="14" spans="1:13" x14ac:dyDescent="0.3">
      <c r="A14" s="1">
        <v>12</v>
      </c>
      <c r="B14" s="1">
        <f t="shared" si="0"/>
        <v>4</v>
      </c>
      <c r="C14" s="2">
        <v>32</v>
      </c>
      <c r="D14" s="2">
        <v>11</v>
      </c>
      <c r="E14" s="2">
        <v>21</v>
      </c>
    </row>
    <row r="15" spans="1:13" x14ac:dyDescent="0.3">
      <c r="A15" s="1">
        <v>13</v>
      </c>
      <c r="B15" s="1">
        <f t="shared" si="0"/>
        <v>1</v>
      </c>
      <c r="C15" s="2">
        <v>35</v>
      </c>
      <c r="D15" s="2">
        <v>12</v>
      </c>
      <c r="E15" s="2">
        <v>23</v>
      </c>
    </row>
    <row r="16" spans="1:13" x14ac:dyDescent="0.3">
      <c r="A16" s="1">
        <v>14</v>
      </c>
      <c r="B16" s="1">
        <f t="shared" si="0"/>
        <v>1</v>
      </c>
      <c r="C16" s="2">
        <v>38</v>
      </c>
      <c r="D16" s="2">
        <v>13</v>
      </c>
      <c r="E16" s="2">
        <v>25</v>
      </c>
    </row>
    <row r="17" spans="1:5" x14ac:dyDescent="0.3">
      <c r="A17" s="1">
        <v>15</v>
      </c>
      <c r="B17" s="1">
        <f t="shared" si="0"/>
        <v>1</v>
      </c>
      <c r="C17" s="2">
        <v>36</v>
      </c>
      <c r="D17" s="2">
        <v>12.5</v>
      </c>
      <c r="E17" s="2">
        <v>24</v>
      </c>
    </row>
    <row r="18" spans="1:5" x14ac:dyDescent="0.3">
      <c r="A18" s="1">
        <v>16</v>
      </c>
      <c r="B18" s="1">
        <f t="shared" si="0"/>
        <v>2</v>
      </c>
      <c r="C18" s="2">
        <v>40</v>
      </c>
      <c r="D18" s="2">
        <v>14</v>
      </c>
      <c r="E18" s="2">
        <v>26</v>
      </c>
    </row>
    <row r="19" spans="1:5" x14ac:dyDescent="0.3">
      <c r="A19" s="1">
        <v>17</v>
      </c>
      <c r="B19" s="1">
        <f t="shared" si="0"/>
        <v>2</v>
      </c>
      <c r="C19" s="2">
        <v>42</v>
      </c>
      <c r="D19" s="2">
        <v>15</v>
      </c>
      <c r="E19" s="2">
        <v>28</v>
      </c>
    </row>
    <row r="20" spans="1:5" x14ac:dyDescent="0.3">
      <c r="A20" s="1">
        <v>18</v>
      </c>
      <c r="B20" s="1">
        <f t="shared" si="0"/>
        <v>2</v>
      </c>
      <c r="C20" s="2">
        <v>45</v>
      </c>
      <c r="D20" s="2">
        <v>16</v>
      </c>
      <c r="E20" s="2">
        <v>30</v>
      </c>
    </row>
    <row r="21" spans="1:5" x14ac:dyDescent="0.3">
      <c r="A21" s="1">
        <v>19</v>
      </c>
      <c r="B21" s="1">
        <f t="shared" si="0"/>
        <v>3</v>
      </c>
      <c r="C21" s="2">
        <v>48</v>
      </c>
      <c r="D21" s="2">
        <v>17</v>
      </c>
      <c r="E21" s="2">
        <v>32</v>
      </c>
    </row>
    <row r="22" spans="1:5" x14ac:dyDescent="0.3">
      <c r="A22" s="1">
        <v>20</v>
      </c>
      <c r="B22" s="1">
        <f t="shared" si="0"/>
        <v>3</v>
      </c>
      <c r="C22" s="2">
        <v>50</v>
      </c>
      <c r="D22" s="2">
        <v>18</v>
      </c>
      <c r="E22" s="2">
        <v>33</v>
      </c>
    </row>
    <row r="23" spans="1:5" x14ac:dyDescent="0.3">
      <c r="A23" s="1">
        <v>21</v>
      </c>
      <c r="B23" s="1">
        <f t="shared" si="0"/>
        <v>3</v>
      </c>
      <c r="C23" s="2">
        <v>52</v>
      </c>
      <c r="D23" s="2">
        <v>19</v>
      </c>
      <c r="E23" s="2">
        <v>35</v>
      </c>
    </row>
    <row r="24" spans="1:5" x14ac:dyDescent="0.3">
      <c r="A24" s="1">
        <v>22</v>
      </c>
      <c r="B24" s="1">
        <f t="shared" si="0"/>
        <v>4</v>
      </c>
      <c r="C24" s="2">
        <v>55</v>
      </c>
      <c r="D24" s="2">
        <v>20</v>
      </c>
      <c r="E24" s="2">
        <v>37</v>
      </c>
    </row>
    <row r="25" spans="1:5" x14ac:dyDescent="0.3">
      <c r="A25" s="1">
        <v>23</v>
      </c>
      <c r="B25" s="1">
        <f t="shared" si="0"/>
        <v>4</v>
      </c>
      <c r="C25" s="2">
        <v>58</v>
      </c>
      <c r="D25" s="2">
        <v>21</v>
      </c>
      <c r="E25" s="2">
        <v>39</v>
      </c>
    </row>
    <row r="26" spans="1:5" x14ac:dyDescent="0.3">
      <c r="A26" s="1">
        <v>24</v>
      </c>
      <c r="B26" s="1">
        <f t="shared" si="0"/>
        <v>4</v>
      </c>
      <c r="C26" s="2">
        <v>60</v>
      </c>
      <c r="D26" s="2">
        <v>22</v>
      </c>
      <c r="E26" s="2">
        <v>40</v>
      </c>
    </row>
    <row r="27" spans="1:5" x14ac:dyDescent="0.3">
      <c r="A27" s="1">
        <v>25</v>
      </c>
      <c r="B27" s="1">
        <f t="shared" si="0"/>
        <v>1</v>
      </c>
      <c r="C27" s="2">
        <v>62</v>
      </c>
      <c r="D27" s="2">
        <v>23</v>
      </c>
      <c r="E27" s="2">
        <v>42</v>
      </c>
    </row>
    <row r="28" spans="1:5" x14ac:dyDescent="0.3">
      <c r="A28" s="1">
        <v>26</v>
      </c>
      <c r="B28" s="1">
        <f t="shared" si="0"/>
        <v>1</v>
      </c>
      <c r="C28" s="2">
        <v>65</v>
      </c>
      <c r="D28" s="2">
        <v>24</v>
      </c>
      <c r="E28" s="2">
        <v>44</v>
      </c>
    </row>
    <row r="29" spans="1:5" x14ac:dyDescent="0.3">
      <c r="A29" s="1">
        <v>27</v>
      </c>
      <c r="B29" s="1">
        <f t="shared" si="0"/>
        <v>1</v>
      </c>
      <c r="C29" s="2">
        <v>68</v>
      </c>
      <c r="D29" s="2">
        <v>25</v>
      </c>
      <c r="E29" s="2">
        <v>46</v>
      </c>
    </row>
    <row r="30" spans="1:5" x14ac:dyDescent="0.3">
      <c r="A30" s="1">
        <v>28</v>
      </c>
      <c r="B30" s="1">
        <f t="shared" si="0"/>
        <v>2</v>
      </c>
      <c r="C30" s="2">
        <v>70</v>
      </c>
      <c r="D30" s="2">
        <v>26</v>
      </c>
      <c r="E30" s="2">
        <v>48</v>
      </c>
    </row>
    <row r="31" spans="1:5" x14ac:dyDescent="0.3">
      <c r="A31" s="1">
        <v>29</v>
      </c>
      <c r="B31" s="1">
        <f t="shared" si="0"/>
        <v>2</v>
      </c>
      <c r="C31" s="2">
        <v>72</v>
      </c>
      <c r="D31" s="2">
        <v>27</v>
      </c>
      <c r="E31" s="2">
        <v>50</v>
      </c>
    </row>
    <row r="32" spans="1:5" x14ac:dyDescent="0.3">
      <c r="A32" s="1">
        <v>30</v>
      </c>
      <c r="B32" s="1">
        <f t="shared" si="0"/>
        <v>2</v>
      </c>
      <c r="C32" s="2">
        <v>75</v>
      </c>
      <c r="D32" s="2">
        <v>28</v>
      </c>
      <c r="E32" s="2">
        <v>52</v>
      </c>
    </row>
    <row r="33" spans="1:5" x14ac:dyDescent="0.3">
      <c r="A33" s="1">
        <v>31</v>
      </c>
      <c r="B33" s="1">
        <f t="shared" si="0"/>
        <v>3</v>
      </c>
      <c r="C33" s="2">
        <v>78</v>
      </c>
      <c r="D33" s="2">
        <v>29</v>
      </c>
      <c r="E33" s="2">
        <v>54</v>
      </c>
    </row>
    <row r="34" spans="1:5" x14ac:dyDescent="0.3">
      <c r="A34" s="1">
        <v>32</v>
      </c>
      <c r="B34" s="1">
        <f t="shared" si="0"/>
        <v>3</v>
      </c>
      <c r="C34" s="2">
        <v>80</v>
      </c>
      <c r="D34" s="2">
        <v>30</v>
      </c>
      <c r="E34" s="2">
        <v>55</v>
      </c>
    </row>
    <row r="35" spans="1:5" x14ac:dyDescent="0.3">
      <c r="A35" s="1">
        <v>33</v>
      </c>
      <c r="B35" s="1">
        <f t="shared" si="0"/>
        <v>3</v>
      </c>
      <c r="C35" s="2">
        <v>82</v>
      </c>
      <c r="D35" s="2">
        <v>31</v>
      </c>
      <c r="E35" s="2">
        <v>57</v>
      </c>
    </row>
    <row r="36" spans="1:5" x14ac:dyDescent="0.3">
      <c r="A36" s="1">
        <v>34</v>
      </c>
      <c r="B36" s="1">
        <f t="shared" si="0"/>
        <v>4</v>
      </c>
      <c r="C36" s="2">
        <v>85</v>
      </c>
      <c r="D36" s="2">
        <v>32</v>
      </c>
      <c r="E36" s="2">
        <v>59</v>
      </c>
    </row>
    <row r="37" spans="1:5" x14ac:dyDescent="0.3">
      <c r="A37" s="1">
        <v>35</v>
      </c>
      <c r="B37" s="1">
        <f t="shared" si="0"/>
        <v>4</v>
      </c>
      <c r="C37" s="2">
        <v>88</v>
      </c>
      <c r="D37" s="2">
        <v>33</v>
      </c>
      <c r="E37" s="2">
        <v>61</v>
      </c>
    </row>
    <row r="38" spans="1:5" x14ac:dyDescent="0.3">
      <c r="A38" s="1">
        <v>36</v>
      </c>
      <c r="B38" s="1">
        <f t="shared" si="0"/>
        <v>4</v>
      </c>
      <c r="C38" s="2">
        <v>90</v>
      </c>
      <c r="D38" s="2">
        <v>34</v>
      </c>
      <c r="E38" s="2">
        <v>62</v>
      </c>
    </row>
    <row r="39" spans="1:5" x14ac:dyDescent="0.3">
      <c r="A39" s="1">
        <v>37</v>
      </c>
      <c r="B39" s="1">
        <f t="shared" si="0"/>
        <v>1</v>
      </c>
      <c r="C39" s="2">
        <v>92</v>
      </c>
      <c r="D39" s="2">
        <v>35</v>
      </c>
      <c r="E39" s="2">
        <v>64</v>
      </c>
    </row>
    <row r="40" spans="1:5" x14ac:dyDescent="0.3">
      <c r="A40" s="1">
        <v>38</v>
      </c>
      <c r="B40" s="1">
        <f t="shared" si="0"/>
        <v>1</v>
      </c>
      <c r="C40" s="2">
        <v>95</v>
      </c>
      <c r="D40" s="2">
        <v>36</v>
      </c>
      <c r="E40" s="2">
        <v>66</v>
      </c>
    </row>
    <row r="41" spans="1:5" x14ac:dyDescent="0.3">
      <c r="A41" s="1">
        <v>39</v>
      </c>
      <c r="B41" s="1">
        <f t="shared" si="0"/>
        <v>1</v>
      </c>
      <c r="C41" s="2">
        <v>98</v>
      </c>
      <c r="D41" s="2">
        <v>37</v>
      </c>
      <c r="E41" s="2">
        <v>68</v>
      </c>
    </row>
    <row r="42" spans="1:5" x14ac:dyDescent="0.3">
      <c r="A42" s="1">
        <v>40</v>
      </c>
      <c r="B42" s="1">
        <f t="shared" si="0"/>
        <v>2</v>
      </c>
      <c r="C42" s="2">
        <v>100</v>
      </c>
      <c r="D42" s="2">
        <v>38</v>
      </c>
      <c r="E42" s="2">
        <v>70</v>
      </c>
    </row>
    <row r="43" spans="1:5" x14ac:dyDescent="0.3">
      <c r="A43" s="1">
        <v>41</v>
      </c>
      <c r="B43" s="1">
        <f t="shared" si="0"/>
        <v>2</v>
      </c>
      <c r="C43" s="2">
        <v>102</v>
      </c>
      <c r="D43" s="2">
        <v>39</v>
      </c>
      <c r="E43" s="2">
        <v>72</v>
      </c>
    </row>
    <row r="44" spans="1:5" x14ac:dyDescent="0.3">
      <c r="A44" s="1">
        <v>42</v>
      </c>
      <c r="B44" s="1">
        <f t="shared" si="0"/>
        <v>2</v>
      </c>
      <c r="C44" s="2">
        <v>105</v>
      </c>
      <c r="D44" s="2">
        <v>40</v>
      </c>
      <c r="E44" s="2">
        <v>74</v>
      </c>
    </row>
    <row r="45" spans="1:5" x14ac:dyDescent="0.3">
      <c r="A45" s="1">
        <v>43</v>
      </c>
      <c r="B45" s="1">
        <f t="shared" si="0"/>
        <v>3</v>
      </c>
      <c r="C45" s="2">
        <v>108</v>
      </c>
      <c r="D45" s="2">
        <v>41</v>
      </c>
      <c r="E45" s="2">
        <v>76</v>
      </c>
    </row>
    <row r="46" spans="1:5" x14ac:dyDescent="0.3">
      <c r="A46" s="1">
        <v>44</v>
      </c>
      <c r="B46" s="1">
        <f t="shared" si="0"/>
        <v>3</v>
      </c>
      <c r="C46" s="2">
        <v>110</v>
      </c>
      <c r="D46" s="2">
        <v>42</v>
      </c>
      <c r="E46" s="2">
        <v>77</v>
      </c>
    </row>
    <row r="47" spans="1:5" x14ac:dyDescent="0.3">
      <c r="A47" s="1">
        <v>45</v>
      </c>
      <c r="B47" s="1">
        <f t="shared" si="0"/>
        <v>3</v>
      </c>
      <c r="C47" s="2">
        <v>112</v>
      </c>
      <c r="D47" s="2">
        <v>43</v>
      </c>
      <c r="E47" s="2">
        <v>79</v>
      </c>
    </row>
    <row r="48" spans="1:5" x14ac:dyDescent="0.3">
      <c r="A48" s="1">
        <v>46</v>
      </c>
      <c r="B48" s="1">
        <f t="shared" si="0"/>
        <v>4</v>
      </c>
      <c r="C48" s="2">
        <v>115</v>
      </c>
      <c r="D48" s="2">
        <v>44</v>
      </c>
      <c r="E48" s="2">
        <v>81</v>
      </c>
    </row>
    <row r="49" spans="1:5" x14ac:dyDescent="0.3">
      <c r="A49" s="1">
        <v>47</v>
      </c>
      <c r="B49" s="1">
        <f t="shared" si="0"/>
        <v>4</v>
      </c>
      <c r="C49" s="2">
        <v>118</v>
      </c>
      <c r="D49" s="2">
        <v>45</v>
      </c>
      <c r="E49" s="2">
        <v>83</v>
      </c>
    </row>
    <row r="50" spans="1:5" x14ac:dyDescent="0.3">
      <c r="A50" s="1">
        <v>48</v>
      </c>
      <c r="B50" s="1">
        <f t="shared" si="0"/>
        <v>4</v>
      </c>
      <c r="C50" s="2">
        <v>120</v>
      </c>
      <c r="D50" s="2">
        <v>46</v>
      </c>
      <c r="E50" s="2">
        <v>85</v>
      </c>
    </row>
    <row r="51" spans="1:5" x14ac:dyDescent="0.3">
      <c r="A51" s="1">
        <v>49</v>
      </c>
      <c r="B51" s="1">
        <f t="shared" si="0"/>
        <v>1</v>
      </c>
      <c r="C51" s="2">
        <v>122</v>
      </c>
      <c r="D51" s="2">
        <v>47</v>
      </c>
      <c r="E51" s="2">
        <v>87</v>
      </c>
    </row>
    <row r="52" spans="1:5" x14ac:dyDescent="0.3">
      <c r="A52" s="1">
        <v>50</v>
      </c>
      <c r="B52" s="1">
        <f t="shared" si="0"/>
        <v>1</v>
      </c>
      <c r="C52" s="2">
        <v>125</v>
      </c>
      <c r="D52" s="4">
        <v>48</v>
      </c>
      <c r="E52" s="4">
        <v>89</v>
      </c>
    </row>
    <row r="53" spans="1:5" x14ac:dyDescent="0.3">
      <c r="A53" s="1">
        <v>51</v>
      </c>
      <c r="B53" s="1">
        <f t="shared" si="0"/>
        <v>1</v>
      </c>
      <c r="C53" s="2">
        <v>128</v>
      </c>
      <c r="D53" s="4">
        <v>49</v>
      </c>
      <c r="E53" s="4">
        <v>91</v>
      </c>
    </row>
    <row r="54" spans="1:5" x14ac:dyDescent="0.3">
      <c r="A54" s="1">
        <v>52</v>
      </c>
      <c r="B54" s="1">
        <f t="shared" si="0"/>
        <v>2</v>
      </c>
      <c r="C54" s="2">
        <v>130</v>
      </c>
      <c r="D54" s="4">
        <v>50</v>
      </c>
      <c r="E54" s="4">
        <v>92</v>
      </c>
    </row>
    <row r="55" spans="1:5" x14ac:dyDescent="0.3">
      <c r="A55" s="1">
        <v>53</v>
      </c>
      <c r="B55" s="1">
        <f t="shared" si="0"/>
        <v>2</v>
      </c>
      <c r="C55" s="2">
        <v>132</v>
      </c>
      <c r="D55" s="4">
        <v>51</v>
      </c>
      <c r="E55" s="4">
        <v>94</v>
      </c>
    </row>
    <row r="56" spans="1:5" x14ac:dyDescent="0.3">
      <c r="A56" s="1">
        <v>54</v>
      </c>
      <c r="B56" s="1">
        <f t="shared" si="0"/>
        <v>2</v>
      </c>
      <c r="C56" s="2">
        <v>135</v>
      </c>
      <c r="D56" s="4">
        <v>52</v>
      </c>
      <c r="E56" s="2">
        <v>96</v>
      </c>
    </row>
    <row r="57" spans="1:5" x14ac:dyDescent="0.3">
      <c r="A57" s="1">
        <v>55</v>
      </c>
      <c r="B57" s="1">
        <f t="shared" si="0"/>
        <v>3</v>
      </c>
      <c r="C57" s="2">
        <v>138</v>
      </c>
      <c r="D57" s="4">
        <v>53</v>
      </c>
      <c r="E57" s="4">
        <v>98</v>
      </c>
    </row>
    <row r="58" spans="1:5" x14ac:dyDescent="0.3">
      <c r="A58" s="1">
        <v>56</v>
      </c>
      <c r="B58" s="1">
        <f t="shared" si="0"/>
        <v>3</v>
      </c>
      <c r="C58" s="2">
        <v>140</v>
      </c>
      <c r="D58" s="4">
        <v>54</v>
      </c>
      <c r="E58" s="4">
        <v>100</v>
      </c>
    </row>
    <row r="59" spans="1:5" x14ac:dyDescent="0.3">
      <c r="A59" s="1">
        <v>57</v>
      </c>
      <c r="B59" s="1">
        <f t="shared" si="0"/>
        <v>3</v>
      </c>
      <c r="C59" s="2">
        <v>142</v>
      </c>
      <c r="D59" s="4">
        <v>55</v>
      </c>
      <c r="E59" s="4">
        <v>102</v>
      </c>
    </row>
    <row r="60" spans="1:5" x14ac:dyDescent="0.3">
      <c r="A60" s="1">
        <v>58</v>
      </c>
      <c r="B60" s="1">
        <f t="shared" si="0"/>
        <v>4</v>
      </c>
      <c r="C60" s="2">
        <v>145</v>
      </c>
      <c r="D60" s="2">
        <v>56</v>
      </c>
      <c r="E60" s="2">
        <v>104</v>
      </c>
    </row>
    <row r="61" spans="1:5" x14ac:dyDescent="0.3">
      <c r="A61" s="1">
        <v>59</v>
      </c>
      <c r="B61" s="1">
        <f t="shared" si="0"/>
        <v>4</v>
      </c>
      <c r="C61" s="2">
        <v>148</v>
      </c>
      <c r="D61" s="2">
        <v>57</v>
      </c>
      <c r="E61" s="2">
        <v>106</v>
      </c>
    </row>
    <row r="62" spans="1:5" x14ac:dyDescent="0.3">
      <c r="A62" s="1">
        <v>60</v>
      </c>
      <c r="B62" s="1">
        <f t="shared" si="0"/>
        <v>4</v>
      </c>
      <c r="C62" s="2">
        <v>150</v>
      </c>
      <c r="D62" s="2">
        <v>58</v>
      </c>
      <c r="E62" s="2">
        <v>107</v>
      </c>
    </row>
    <row r="63" spans="1:5" x14ac:dyDescent="0.3">
      <c r="A63" s="1">
        <v>61</v>
      </c>
      <c r="B63" s="1">
        <f t="shared" si="0"/>
        <v>1</v>
      </c>
      <c r="C63" s="2">
        <v>152</v>
      </c>
      <c r="D63" s="2">
        <v>59</v>
      </c>
      <c r="E63" s="2">
        <v>109</v>
      </c>
    </row>
    <row r="64" spans="1:5" x14ac:dyDescent="0.3">
      <c r="A64" s="1">
        <v>62</v>
      </c>
      <c r="B64" s="1">
        <f t="shared" si="0"/>
        <v>1</v>
      </c>
      <c r="C64" s="2">
        <v>155</v>
      </c>
      <c r="D64" s="2">
        <v>60</v>
      </c>
      <c r="E64" s="2">
        <v>111</v>
      </c>
    </row>
    <row r="65" spans="1:5" x14ac:dyDescent="0.3">
      <c r="A65" s="1">
        <v>63</v>
      </c>
      <c r="B65" s="1">
        <f t="shared" si="0"/>
        <v>1</v>
      </c>
      <c r="C65" s="2">
        <v>158</v>
      </c>
      <c r="D65" s="2">
        <v>61</v>
      </c>
      <c r="E65" s="2">
        <v>113</v>
      </c>
    </row>
    <row r="66" spans="1:5" x14ac:dyDescent="0.3">
      <c r="A66" s="1">
        <v>64</v>
      </c>
      <c r="B66" s="1">
        <f t="shared" si="0"/>
        <v>2</v>
      </c>
      <c r="C66" s="2">
        <v>160</v>
      </c>
      <c r="D66" s="2">
        <v>62</v>
      </c>
      <c r="E66" s="2">
        <v>115</v>
      </c>
    </row>
    <row r="67" spans="1:5" x14ac:dyDescent="0.3">
      <c r="A67" s="1">
        <v>65</v>
      </c>
      <c r="B67" s="1">
        <f t="shared" si="0"/>
        <v>2</v>
      </c>
      <c r="C67" s="2">
        <v>162</v>
      </c>
      <c r="D67" s="2">
        <v>63</v>
      </c>
      <c r="E67" s="2">
        <v>117</v>
      </c>
    </row>
    <row r="68" spans="1:5" x14ac:dyDescent="0.3">
      <c r="A68" s="1">
        <v>66</v>
      </c>
      <c r="B68" s="1">
        <f t="shared" ref="B68:B102" si="1">INT((A68-1)/3-INT((A68-1)/12)*4+1)</f>
        <v>2</v>
      </c>
      <c r="C68" s="2">
        <v>165</v>
      </c>
      <c r="D68" s="2">
        <v>64</v>
      </c>
      <c r="E68" s="2">
        <v>119</v>
      </c>
    </row>
    <row r="69" spans="1:5" x14ac:dyDescent="0.3">
      <c r="A69" s="1">
        <v>67</v>
      </c>
      <c r="B69" s="1">
        <f t="shared" si="1"/>
        <v>3</v>
      </c>
      <c r="C69" s="2">
        <v>168</v>
      </c>
      <c r="D69" s="2">
        <v>65</v>
      </c>
      <c r="E69" s="2">
        <v>121</v>
      </c>
    </row>
    <row r="70" spans="1:5" x14ac:dyDescent="0.3">
      <c r="A70" s="1">
        <v>68</v>
      </c>
      <c r="B70" s="1">
        <f t="shared" si="1"/>
        <v>3</v>
      </c>
      <c r="C70" s="2">
        <v>170</v>
      </c>
      <c r="D70" s="2">
        <v>66</v>
      </c>
      <c r="E70" s="2">
        <v>122</v>
      </c>
    </row>
    <row r="71" spans="1:5" x14ac:dyDescent="0.3">
      <c r="A71" s="1">
        <v>69</v>
      </c>
      <c r="B71" s="1">
        <f t="shared" si="1"/>
        <v>3</v>
      </c>
      <c r="C71" s="2">
        <v>172</v>
      </c>
      <c r="D71" s="2">
        <v>67</v>
      </c>
      <c r="E71" s="2">
        <v>124</v>
      </c>
    </row>
    <row r="72" spans="1:5" x14ac:dyDescent="0.3">
      <c r="A72" s="1">
        <v>70</v>
      </c>
      <c r="B72" s="1">
        <f t="shared" si="1"/>
        <v>4</v>
      </c>
      <c r="C72" s="2">
        <v>175</v>
      </c>
      <c r="D72" s="2">
        <v>68</v>
      </c>
      <c r="E72" s="2">
        <v>126</v>
      </c>
    </row>
    <row r="73" spans="1:5" x14ac:dyDescent="0.3">
      <c r="A73" s="1">
        <v>71</v>
      </c>
      <c r="B73" s="1">
        <f t="shared" si="1"/>
        <v>4</v>
      </c>
      <c r="C73" s="2">
        <v>178</v>
      </c>
      <c r="D73" s="2">
        <v>69</v>
      </c>
      <c r="E73" s="2">
        <v>128</v>
      </c>
    </row>
    <row r="74" spans="1:5" x14ac:dyDescent="0.3">
      <c r="A74" s="1">
        <v>72</v>
      </c>
      <c r="B74" s="1">
        <f t="shared" si="1"/>
        <v>4</v>
      </c>
      <c r="C74" s="2">
        <v>180</v>
      </c>
      <c r="D74" s="2">
        <v>70</v>
      </c>
      <c r="E74" s="2">
        <v>130</v>
      </c>
    </row>
    <row r="75" spans="1:5" x14ac:dyDescent="0.3">
      <c r="A75" s="1">
        <v>73</v>
      </c>
      <c r="B75" s="1">
        <f t="shared" si="1"/>
        <v>1</v>
      </c>
      <c r="C75" s="2">
        <v>182</v>
      </c>
      <c r="D75" s="2">
        <v>71</v>
      </c>
      <c r="E75" s="2">
        <v>132</v>
      </c>
    </row>
    <row r="76" spans="1:5" x14ac:dyDescent="0.3">
      <c r="A76" s="1">
        <v>74</v>
      </c>
      <c r="B76" s="1">
        <f t="shared" si="1"/>
        <v>1</v>
      </c>
      <c r="C76" s="2">
        <v>185</v>
      </c>
      <c r="D76" s="2">
        <v>72</v>
      </c>
      <c r="E76" s="2">
        <v>134</v>
      </c>
    </row>
    <row r="77" spans="1:5" x14ac:dyDescent="0.3">
      <c r="A77" s="1">
        <v>75</v>
      </c>
      <c r="B77" s="1">
        <f t="shared" si="1"/>
        <v>1</v>
      </c>
      <c r="C77" s="2">
        <v>188</v>
      </c>
      <c r="D77" s="2">
        <v>73</v>
      </c>
      <c r="E77" s="2">
        <v>136</v>
      </c>
    </row>
    <row r="78" spans="1:5" x14ac:dyDescent="0.3">
      <c r="A78" s="1">
        <v>76</v>
      </c>
      <c r="B78" s="1">
        <f t="shared" si="1"/>
        <v>2</v>
      </c>
      <c r="C78" s="2">
        <v>190</v>
      </c>
      <c r="D78" s="2">
        <v>74</v>
      </c>
      <c r="E78" s="2">
        <v>137</v>
      </c>
    </row>
    <row r="79" spans="1:5" x14ac:dyDescent="0.3">
      <c r="A79" s="1">
        <v>77</v>
      </c>
      <c r="B79" s="1">
        <f t="shared" si="1"/>
        <v>2</v>
      </c>
      <c r="C79" s="2">
        <v>192</v>
      </c>
      <c r="D79" s="2">
        <v>75</v>
      </c>
      <c r="E79" s="2">
        <v>139</v>
      </c>
    </row>
    <row r="80" spans="1:5" x14ac:dyDescent="0.3">
      <c r="A80" s="1">
        <v>78</v>
      </c>
      <c r="B80" s="1">
        <f t="shared" si="1"/>
        <v>2</v>
      </c>
      <c r="C80" s="2">
        <v>195</v>
      </c>
      <c r="D80" s="2">
        <v>76</v>
      </c>
      <c r="E80" s="2">
        <v>141</v>
      </c>
    </row>
    <row r="81" spans="1:5" x14ac:dyDescent="0.3">
      <c r="A81" s="1">
        <v>79</v>
      </c>
      <c r="B81" s="1">
        <f t="shared" si="1"/>
        <v>3</v>
      </c>
      <c r="C81" s="2">
        <v>198</v>
      </c>
      <c r="D81" s="2">
        <v>77</v>
      </c>
      <c r="E81" s="2">
        <v>143</v>
      </c>
    </row>
    <row r="82" spans="1:5" x14ac:dyDescent="0.3">
      <c r="A82" s="1">
        <v>80</v>
      </c>
      <c r="B82" s="1">
        <f t="shared" si="1"/>
        <v>3</v>
      </c>
      <c r="C82" s="2">
        <v>200</v>
      </c>
      <c r="D82" s="2">
        <v>78</v>
      </c>
      <c r="E82" s="2">
        <v>145</v>
      </c>
    </row>
    <row r="83" spans="1:5" x14ac:dyDescent="0.3">
      <c r="A83" s="1">
        <v>81</v>
      </c>
      <c r="B83" s="1">
        <f t="shared" si="1"/>
        <v>3</v>
      </c>
      <c r="C83" s="2">
        <v>202</v>
      </c>
      <c r="D83" s="2">
        <v>79</v>
      </c>
      <c r="E83" s="2">
        <v>147</v>
      </c>
    </row>
    <row r="84" spans="1:5" x14ac:dyDescent="0.3">
      <c r="A84" s="1">
        <v>82</v>
      </c>
      <c r="B84" s="1">
        <f t="shared" si="1"/>
        <v>4</v>
      </c>
      <c r="C84" s="2">
        <v>205</v>
      </c>
      <c r="D84" s="2">
        <v>80</v>
      </c>
      <c r="E84" s="2">
        <v>149</v>
      </c>
    </row>
    <row r="85" spans="1:5" x14ac:dyDescent="0.3">
      <c r="A85" s="1">
        <v>83</v>
      </c>
      <c r="B85" s="1">
        <f t="shared" si="1"/>
        <v>4</v>
      </c>
      <c r="C85" s="2">
        <v>208</v>
      </c>
      <c r="D85" s="2">
        <v>81</v>
      </c>
      <c r="E85" s="2">
        <v>151</v>
      </c>
    </row>
    <row r="86" spans="1:5" x14ac:dyDescent="0.3">
      <c r="A86" s="1">
        <v>84</v>
      </c>
      <c r="B86" s="1">
        <f t="shared" si="1"/>
        <v>4</v>
      </c>
      <c r="C86" s="2">
        <v>210</v>
      </c>
      <c r="D86" s="2">
        <v>82</v>
      </c>
      <c r="E86" s="2">
        <v>152</v>
      </c>
    </row>
    <row r="87" spans="1:5" x14ac:dyDescent="0.3">
      <c r="A87" s="1">
        <v>85</v>
      </c>
      <c r="B87" s="1">
        <f t="shared" si="1"/>
        <v>1</v>
      </c>
      <c r="C87" s="2">
        <v>212</v>
      </c>
      <c r="D87" s="2">
        <v>83</v>
      </c>
      <c r="E87" s="2">
        <v>154</v>
      </c>
    </row>
    <row r="88" spans="1:5" x14ac:dyDescent="0.3">
      <c r="A88" s="1">
        <v>86</v>
      </c>
      <c r="B88" s="1">
        <f t="shared" si="1"/>
        <v>1</v>
      </c>
      <c r="C88" s="2">
        <v>215</v>
      </c>
      <c r="D88" s="2">
        <v>84</v>
      </c>
      <c r="E88" s="2">
        <v>156</v>
      </c>
    </row>
    <row r="89" spans="1:5" x14ac:dyDescent="0.3">
      <c r="A89" s="1">
        <v>87</v>
      </c>
      <c r="B89" s="1">
        <f t="shared" si="1"/>
        <v>1</v>
      </c>
      <c r="C89" s="2">
        <v>218</v>
      </c>
      <c r="D89" s="2">
        <v>85</v>
      </c>
      <c r="E89" s="2">
        <v>158</v>
      </c>
    </row>
    <row r="90" spans="1:5" x14ac:dyDescent="0.3">
      <c r="A90" s="1">
        <v>88</v>
      </c>
      <c r="B90" s="1">
        <f t="shared" si="1"/>
        <v>2</v>
      </c>
      <c r="C90" s="2">
        <v>220</v>
      </c>
      <c r="D90" s="2">
        <v>86</v>
      </c>
      <c r="E90" s="2">
        <v>160</v>
      </c>
    </row>
    <row r="91" spans="1:5" x14ac:dyDescent="0.3">
      <c r="A91" s="1">
        <v>89</v>
      </c>
      <c r="B91" s="1">
        <f t="shared" si="1"/>
        <v>2</v>
      </c>
      <c r="C91" s="2">
        <v>222</v>
      </c>
      <c r="D91" s="2">
        <v>87</v>
      </c>
      <c r="E91" s="2">
        <v>162</v>
      </c>
    </row>
    <row r="92" spans="1:5" x14ac:dyDescent="0.3">
      <c r="A92" s="1">
        <v>90</v>
      </c>
      <c r="B92" s="1">
        <f t="shared" si="1"/>
        <v>2</v>
      </c>
      <c r="C92" s="2">
        <v>225</v>
      </c>
      <c r="D92" s="2">
        <v>88</v>
      </c>
      <c r="E92" s="2">
        <v>163</v>
      </c>
    </row>
    <row r="93" spans="1:5" x14ac:dyDescent="0.3">
      <c r="A93" s="1">
        <v>91</v>
      </c>
      <c r="B93" s="1">
        <f t="shared" si="1"/>
        <v>3</v>
      </c>
      <c r="C93" s="2">
        <v>228</v>
      </c>
      <c r="D93" s="2">
        <v>89</v>
      </c>
      <c r="E93" s="2">
        <v>165</v>
      </c>
    </row>
    <row r="94" spans="1:5" x14ac:dyDescent="0.3">
      <c r="A94" s="1">
        <v>92</v>
      </c>
      <c r="B94" s="1">
        <f t="shared" si="1"/>
        <v>3</v>
      </c>
      <c r="C94" s="2">
        <v>230</v>
      </c>
      <c r="D94" s="2">
        <v>90</v>
      </c>
      <c r="E94" s="2">
        <v>167</v>
      </c>
    </row>
    <row r="95" spans="1:5" x14ac:dyDescent="0.3">
      <c r="A95" s="1">
        <v>93</v>
      </c>
      <c r="B95" s="1">
        <f t="shared" si="1"/>
        <v>3</v>
      </c>
      <c r="C95" s="2">
        <v>232</v>
      </c>
      <c r="D95" s="2">
        <v>91</v>
      </c>
      <c r="E95" s="2">
        <v>169</v>
      </c>
    </row>
    <row r="96" spans="1:5" x14ac:dyDescent="0.3">
      <c r="A96" s="1">
        <v>94</v>
      </c>
      <c r="B96" s="1">
        <f t="shared" si="1"/>
        <v>4</v>
      </c>
      <c r="C96" s="2">
        <v>235</v>
      </c>
      <c r="D96" s="2">
        <v>92</v>
      </c>
      <c r="E96" s="2">
        <v>171</v>
      </c>
    </row>
    <row r="97" spans="1:5" x14ac:dyDescent="0.3">
      <c r="A97" s="1">
        <v>95</v>
      </c>
      <c r="B97" s="1">
        <f t="shared" si="1"/>
        <v>4</v>
      </c>
      <c r="C97" s="2">
        <v>238</v>
      </c>
      <c r="D97" s="2">
        <v>93</v>
      </c>
      <c r="E97" s="2">
        <v>173</v>
      </c>
    </row>
    <row r="98" spans="1:5" x14ac:dyDescent="0.3">
      <c r="A98" s="1">
        <v>96</v>
      </c>
      <c r="B98" s="1">
        <f t="shared" si="1"/>
        <v>4</v>
      </c>
      <c r="C98" s="2">
        <v>240</v>
      </c>
      <c r="D98" s="2">
        <v>94</v>
      </c>
      <c r="E98" s="2">
        <v>175</v>
      </c>
    </row>
    <row r="99" spans="1:5" x14ac:dyDescent="0.3">
      <c r="A99" s="1">
        <v>97</v>
      </c>
      <c r="B99" s="1">
        <f t="shared" si="1"/>
        <v>1</v>
      </c>
      <c r="C99" s="2">
        <v>242</v>
      </c>
      <c r="D99" s="2">
        <v>95</v>
      </c>
      <c r="E99" s="2">
        <v>177</v>
      </c>
    </row>
    <row r="100" spans="1:5" x14ac:dyDescent="0.3">
      <c r="A100" s="1">
        <v>98</v>
      </c>
      <c r="B100" s="1">
        <f t="shared" si="1"/>
        <v>1</v>
      </c>
      <c r="C100" s="2">
        <v>245</v>
      </c>
      <c r="D100" s="2">
        <v>96</v>
      </c>
      <c r="E100" s="2">
        <v>179</v>
      </c>
    </row>
    <row r="101" spans="1:5" x14ac:dyDescent="0.3">
      <c r="A101" s="1">
        <v>99</v>
      </c>
      <c r="B101" s="1">
        <f t="shared" si="1"/>
        <v>1</v>
      </c>
      <c r="C101" s="2">
        <v>248</v>
      </c>
      <c r="D101" s="2">
        <v>97</v>
      </c>
      <c r="E101" s="2">
        <v>181</v>
      </c>
    </row>
    <row r="102" spans="1:5" x14ac:dyDescent="0.3">
      <c r="A102" s="1">
        <v>100</v>
      </c>
      <c r="B102" s="1">
        <f t="shared" si="1"/>
        <v>2</v>
      </c>
      <c r="C102" s="2">
        <v>250</v>
      </c>
      <c r="D102" s="2">
        <v>98</v>
      </c>
      <c r="E102" s="2">
        <v>183</v>
      </c>
    </row>
  </sheetData>
  <sortState xmlns:xlrd2="http://schemas.microsoft.com/office/spreadsheetml/2017/richdata2" ref="A3:E103">
    <sortCondition ref="A1:A103"/>
  </sortState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Button 1">
              <controlPr defaultSize="0" print="0" autoFill="0" autoPict="0" macro="[1]!Macro2">
                <anchor moveWithCells="1" sizeWithCells="1">
                  <from>
                    <xdr:col>5</xdr:col>
                    <xdr:colOff>487680</xdr:colOff>
                    <xdr:row>2</xdr:row>
                    <xdr:rowOff>15240</xdr:rowOff>
                  </from>
                  <to>
                    <xdr:col>9</xdr:col>
                    <xdr:colOff>106680</xdr:colOff>
                    <xdr:row>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Button 2">
              <controlPr defaultSize="0" print="0" autoFill="0" autoPict="0" macro="[1]!Macro3">
                <anchor moveWithCells="1" sizeWithCells="1">
                  <from>
                    <xdr:col>5</xdr:col>
                    <xdr:colOff>617220</xdr:colOff>
                    <xdr:row>6</xdr:row>
                    <xdr:rowOff>182880</xdr:rowOff>
                  </from>
                  <to>
                    <xdr:col>9</xdr:col>
                    <xdr:colOff>121920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Button 3">
              <controlPr defaultSize="0" print="0" autoFill="0" autoPict="0" macro="[1]!Macro4">
                <anchor moveWithCells="1" sizeWithCells="1">
                  <from>
                    <xdr:col>5</xdr:col>
                    <xdr:colOff>495300</xdr:colOff>
                    <xdr:row>12</xdr:row>
                    <xdr:rowOff>190500</xdr:rowOff>
                  </from>
                  <to>
                    <xdr:col>9</xdr:col>
                    <xdr:colOff>190500</xdr:colOff>
                    <xdr:row>16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Button 4">
              <controlPr defaultSize="0" print="0" autoFill="0" autoPict="0" macro="[1]!Macro5">
                <anchor moveWithCells="1" sizeWithCells="1">
                  <from>
                    <xdr:col>5</xdr:col>
                    <xdr:colOff>571500</xdr:colOff>
                    <xdr:row>18</xdr:row>
                    <xdr:rowOff>91440</xdr:rowOff>
                  </from>
                  <to>
                    <xdr:col>9</xdr:col>
                    <xdr:colOff>22860</xdr:colOff>
                    <xdr:row>21</xdr:row>
                    <xdr:rowOff>144780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BD1F65B38FF7549BE54896AD42A112A" ma:contentTypeVersion="1" ma:contentTypeDescription="Создание документа." ma:contentTypeScope="" ma:versionID="ee9e21a6fb733c88927a6db30217a1f8">
  <xsd:schema xmlns:xsd="http://www.w3.org/2001/XMLSchema" xmlns:xs="http://www.w3.org/2001/XMLSchema" xmlns:p="http://schemas.microsoft.com/office/2006/metadata/properties" xmlns:ns2="c5fe4127-d666-4bdd-8f2d-db7b78b8623d" targetNamespace="http://schemas.microsoft.com/office/2006/metadata/properties" ma:root="true" ma:fieldsID="9b6e517f9c3c2e74e726dd04dd777bc0" ns2:_="">
    <xsd:import namespace="c5fe4127-d666-4bdd-8f2d-db7b78b8623d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fe4127-d666-4bdd-8f2d-db7b78b8623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c5fe4127-d666-4bdd-8f2d-db7b78b8623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A41564-E33E-4694-B848-F06F6A23D0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fe4127-d666-4bdd-8f2d-db7b78b86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D85103-73CC-46D8-8B64-03A6F916764C}">
  <ds:schemaRefs>
    <ds:schemaRef ds:uri="http://schemas.microsoft.com/office/2006/metadata/properties"/>
    <ds:schemaRef ds:uri="http://schemas.microsoft.com/office/infopath/2007/PartnerControls"/>
    <ds:schemaRef ds:uri="c5fe4127-d666-4bdd-8f2d-db7b78b8623d"/>
  </ds:schemaRefs>
</ds:datastoreItem>
</file>

<file path=customXml/itemProps3.xml><?xml version="1.0" encoding="utf-8"?>
<ds:datastoreItem xmlns:ds="http://schemas.openxmlformats.org/officeDocument/2006/customXml" ds:itemID="{36844ED2-F43B-44AF-8669-EDB2796527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Sheet6</vt:lpstr>
      <vt:lpstr>Sheet7</vt:lpstr>
      <vt:lpstr>Sheet2</vt:lpstr>
      <vt:lpstr>Sheet3</vt:lpstr>
      <vt:lpstr>Sheet4</vt:lpstr>
      <vt:lpstr>Sheet5</vt:lpstr>
      <vt:lpstr>Sheet8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Гайнуллин Динур</cp:lastModifiedBy>
  <cp:revision/>
  <dcterms:created xsi:type="dcterms:W3CDTF">2024-01-20T14:06:26Z</dcterms:created>
  <dcterms:modified xsi:type="dcterms:W3CDTF">2025-11-03T17:38:54Z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0x010100CBD1F65B38FF7549BE54896AD42A112A</vt:lpwstr>
  </property>
</Properties>
</file>